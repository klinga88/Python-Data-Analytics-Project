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ling\UNCC - Homework for Data Analytics\Python-Data-Analytics-Project\"/>
    </mc:Choice>
  </mc:AlternateContent>
  <xr:revisionPtr revIDLastSave="0" documentId="10_ncr:8140008_{2B1F137A-5F59-4245-B252-7EF79C3A2D53}" xr6:coauthVersionLast="33" xr6:coauthVersionMax="33" xr10:uidLastSave="{00000000-0000-0000-0000-000000000000}"/>
  <bookViews>
    <workbookView minimized="1" xWindow="930" yWindow="0" windowWidth="18270" windowHeight="7550"/>
  </bookViews>
  <sheets>
    <sheet name="Combined Stock Data" sheetId="1" r:id="rId1"/>
  </sheets>
  <definedNames>
    <definedName name="_xlnm._FilterDatabase" localSheetId="0" hidden="1">'Combined Stock Data'!$A$1:$J$1</definedName>
  </definedNames>
  <calcPr calcId="0"/>
</workbook>
</file>

<file path=xl/calcChain.xml><?xml version="1.0" encoding="utf-8"?>
<calcChain xmlns="http://schemas.openxmlformats.org/spreadsheetml/2006/main">
  <c r="H99" i="1" l="1"/>
  <c r="I99" i="1" s="1"/>
  <c r="H8" i="1"/>
  <c r="I8" i="1" s="1"/>
  <c r="H4" i="1"/>
  <c r="I4" i="1" s="1"/>
  <c r="H19" i="1"/>
  <c r="I19" i="1" s="1"/>
  <c r="H2" i="1"/>
  <c r="I2" i="1" s="1"/>
  <c r="H97" i="1"/>
  <c r="I97" i="1" s="1"/>
  <c r="H9" i="1"/>
  <c r="I9" i="1" s="1"/>
  <c r="H57" i="1"/>
  <c r="I57" i="1" s="1"/>
  <c r="H90" i="1"/>
  <c r="I90" i="1" s="1"/>
  <c r="H35" i="1"/>
  <c r="I35" i="1" s="1"/>
  <c r="H72" i="1"/>
  <c r="I72" i="1" s="1"/>
  <c r="H48" i="1"/>
  <c r="I48" i="1" s="1"/>
  <c r="H101" i="1"/>
  <c r="I101" i="1" s="1"/>
  <c r="H34" i="1"/>
  <c r="I34" i="1" s="1"/>
  <c r="H28" i="1"/>
  <c r="I28" i="1" s="1"/>
  <c r="H98" i="1"/>
  <c r="I98" i="1" s="1"/>
  <c r="H94" i="1"/>
  <c r="I94" i="1" s="1"/>
  <c r="H44" i="1"/>
  <c r="I44" i="1" s="1"/>
  <c r="H18" i="1"/>
  <c r="I18" i="1" s="1"/>
  <c r="H88" i="1"/>
  <c r="I88" i="1" s="1"/>
  <c r="H56" i="1"/>
  <c r="I56" i="1" s="1"/>
  <c r="H32" i="1"/>
  <c r="I32" i="1" s="1"/>
  <c r="H10" i="1"/>
  <c r="I10" i="1" s="1"/>
  <c r="H22" i="1"/>
  <c r="I22" i="1" s="1"/>
  <c r="H5" i="1"/>
  <c r="I5" i="1" s="1"/>
  <c r="H24" i="1"/>
  <c r="I24" i="1" s="1"/>
  <c r="H96" i="1"/>
  <c r="I96" i="1" s="1"/>
  <c r="H95" i="1"/>
  <c r="I95" i="1" s="1"/>
  <c r="H54" i="1"/>
  <c r="I54" i="1" s="1"/>
  <c r="H43" i="1"/>
  <c r="I43" i="1" s="1"/>
  <c r="H29" i="1"/>
  <c r="I29" i="1" s="1"/>
  <c r="H23" i="1"/>
  <c r="I23" i="1" s="1"/>
  <c r="H41" i="1"/>
  <c r="I41" i="1" s="1"/>
  <c r="H59" i="1"/>
  <c r="I59" i="1" s="1"/>
  <c r="H73" i="1"/>
  <c r="I73" i="1" s="1"/>
  <c r="H85" i="1"/>
  <c r="I85" i="1" s="1"/>
  <c r="H14" i="1"/>
  <c r="I14" i="1" s="1"/>
  <c r="H86" i="1"/>
  <c r="I86" i="1" s="1"/>
  <c r="H42" i="1"/>
  <c r="I42" i="1" s="1"/>
  <c r="H60" i="1"/>
  <c r="I60" i="1" s="1"/>
  <c r="H52" i="1"/>
  <c r="I52" i="1" s="1"/>
  <c r="H75" i="1"/>
  <c r="I75" i="1" s="1"/>
  <c r="H81" i="1"/>
  <c r="I81" i="1" s="1"/>
  <c r="H13" i="1"/>
  <c r="I13" i="1" s="1"/>
  <c r="H3" i="1"/>
  <c r="I3" i="1" s="1"/>
  <c r="H46" i="1"/>
  <c r="I46" i="1" s="1"/>
  <c r="H33" i="1"/>
  <c r="I33" i="1" s="1"/>
  <c r="H63" i="1"/>
  <c r="I63" i="1" s="1"/>
  <c r="H20" i="1"/>
  <c r="I20" i="1" s="1"/>
  <c r="H15" i="1"/>
  <c r="I15" i="1" s="1"/>
  <c r="H55" i="1"/>
  <c r="I55" i="1" s="1"/>
  <c r="H82" i="1"/>
  <c r="I82" i="1" s="1"/>
  <c r="H92" i="1"/>
  <c r="I92" i="1" s="1"/>
  <c r="H50" i="1"/>
  <c r="I50" i="1" s="1"/>
  <c r="H64" i="1"/>
  <c r="I64" i="1" s="1"/>
  <c r="H51" i="1"/>
  <c r="I51" i="1" s="1"/>
  <c r="H47" i="1"/>
  <c r="I47" i="1" s="1"/>
  <c r="H70" i="1"/>
  <c r="I70" i="1" s="1"/>
  <c r="H39" i="1"/>
  <c r="I39" i="1" s="1"/>
  <c r="H91" i="1"/>
  <c r="I91" i="1" s="1"/>
  <c r="H30" i="1"/>
  <c r="I30" i="1" s="1"/>
  <c r="H11" i="1"/>
  <c r="I11" i="1" s="1"/>
  <c r="H71" i="1"/>
  <c r="I71" i="1" s="1"/>
  <c r="H79" i="1"/>
  <c r="I79" i="1" s="1"/>
  <c r="H80" i="1"/>
  <c r="I80" i="1" s="1"/>
  <c r="H69" i="1"/>
  <c r="I69" i="1" s="1"/>
  <c r="H37" i="1"/>
  <c r="I37" i="1" s="1"/>
  <c r="H83" i="1"/>
  <c r="I83" i="1" s="1"/>
  <c r="H93" i="1"/>
  <c r="I93" i="1" s="1"/>
  <c r="H49" i="1"/>
  <c r="I49" i="1" s="1"/>
  <c r="H87" i="1"/>
  <c r="I87" i="1" s="1"/>
  <c r="H61" i="1"/>
  <c r="I61" i="1" s="1"/>
  <c r="H68" i="1"/>
  <c r="I68" i="1" s="1"/>
  <c r="H89" i="1"/>
  <c r="I89" i="1" s="1"/>
  <c r="H45" i="1"/>
  <c r="I45" i="1" s="1"/>
  <c r="H31" i="1"/>
  <c r="I31" i="1" s="1"/>
  <c r="H67" i="1"/>
  <c r="I67" i="1" s="1"/>
  <c r="H7" i="1"/>
  <c r="I7" i="1" s="1"/>
  <c r="H12" i="1"/>
  <c r="I12" i="1" s="1"/>
  <c r="H77" i="1"/>
  <c r="I77" i="1" s="1"/>
  <c r="H16" i="1"/>
  <c r="I16" i="1" s="1"/>
  <c r="H66" i="1"/>
  <c r="I66" i="1" s="1"/>
  <c r="H58" i="1"/>
  <c r="I58" i="1" s="1"/>
  <c r="H38" i="1"/>
  <c r="I38" i="1" s="1"/>
  <c r="H17" i="1"/>
  <c r="I17" i="1" s="1"/>
  <c r="H25" i="1"/>
  <c r="I25" i="1" s="1"/>
  <c r="H100" i="1"/>
  <c r="I100" i="1" s="1"/>
  <c r="H40" i="1"/>
  <c r="I40" i="1" s="1"/>
  <c r="H36" i="1"/>
  <c r="I36" i="1" s="1"/>
  <c r="H26" i="1"/>
  <c r="I26" i="1" s="1"/>
  <c r="H76" i="1"/>
  <c r="I76" i="1" s="1"/>
  <c r="H84" i="1"/>
  <c r="I84" i="1" s="1"/>
  <c r="H21" i="1"/>
  <c r="I21" i="1" s="1"/>
  <c r="H62" i="1"/>
  <c r="I62" i="1" s="1"/>
  <c r="H74" i="1"/>
  <c r="I74" i="1" s="1"/>
  <c r="H27" i="1"/>
  <c r="I27" i="1" s="1"/>
  <c r="H65" i="1"/>
  <c r="I65" i="1" s="1"/>
  <c r="H53" i="1"/>
  <c r="I53" i="1" s="1"/>
  <c r="H78" i="1"/>
  <c r="I78" i="1" s="1"/>
  <c r="H6" i="1"/>
  <c r="I6" i="1" s="1"/>
</calcChain>
</file>

<file path=xl/sharedStrings.xml><?xml version="1.0" encoding="utf-8"?>
<sst xmlns="http://schemas.openxmlformats.org/spreadsheetml/2006/main" count="108" uniqueCount="108">
  <si>
    <t>Ticker</t>
  </si>
  <si>
    <t>Biggest Difference</t>
  </si>
  <si>
    <t>Minimum Close Date</t>
  </si>
  <si>
    <t>Minimum Close</t>
  </si>
  <si>
    <t>Maximum Close Date</t>
  </si>
  <si>
    <t>Maximum Close</t>
  </si>
  <si>
    <t>aapl</t>
  </si>
  <si>
    <t>abbv</t>
  </si>
  <si>
    <t>abt</t>
  </si>
  <si>
    <t>acn</t>
  </si>
  <si>
    <t>agn</t>
  </si>
  <si>
    <t>aig</t>
  </si>
  <si>
    <t>all</t>
  </si>
  <si>
    <t>amgn</t>
  </si>
  <si>
    <t>amzn</t>
  </si>
  <si>
    <t>axp</t>
  </si>
  <si>
    <t>ba</t>
  </si>
  <si>
    <t>bac</t>
  </si>
  <si>
    <t>biib</t>
  </si>
  <si>
    <t>bk</t>
  </si>
  <si>
    <t>blk</t>
  </si>
  <si>
    <t>bmy</t>
  </si>
  <si>
    <t>c</t>
  </si>
  <si>
    <t>cat</t>
  </si>
  <si>
    <t>celg</t>
  </si>
  <si>
    <t>chtr</t>
  </si>
  <si>
    <t>cl</t>
  </si>
  <si>
    <t>cmcsa</t>
  </si>
  <si>
    <t>cof</t>
  </si>
  <si>
    <t>cop</t>
  </si>
  <si>
    <t>cost</t>
  </si>
  <si>
    <t>csco</t>
  </si>
  <si>
    <t>cvs</t>
  </si>
  <si>
    <t>cvx</t>
  </si>
  <si>
    <t>dhr</t>
  </si>
  <si>
    <t>dis</t>
  </si>
  <si>
    <t>duk</t>
  </si>
  <si>
    <t>dwdp</t>
  </si>
  <si>
    <t>emr</t>
  </si>
  <si>
    <t>exc</t>
  </si>
  <si>
    <t>f</t>
  </si>
  <si>
    <t>fb</t>
  </si>
  <si>
    <t>fdx</t>
  </si>
  <si>
    <t>fox</t>
  </si>
  <si>
    <t>foxa</t>
  </si>
  <si>
    <t>gd</t>
  </si>
  <si>
    <t>ge</t>
  </si>
  <si>
    <t>gild</t>
  </si>
  <si>
    <t>gm</t>
  </si>
  <si>
    <t>goog</t>
  </si>
  <si>
    <t>googl</t>
  </si>
  <si>
    <t>gs</t>
  </si>
  <si>
    <t>hal</t>
  </si>
  <si>
    <t>hd</t>
  </si>
  <si>
    <t>hon</t>
  </si>
  <si>
    <t>ibm</t>
  </si>
  <si>
    <t>intc</t>
  </si>
  <si>
    <t>jnj</t>
  </si>
  <si>
    <t>jpm</t>
  </si>
  <si>
    <t>khc</t>
  </si>
  <si>
    <t>kmi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</si>
  <si>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</si>
  <si>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</si>
  <si>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</si>
  <si>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</si>
  <si>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</si>
  <si>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</si>
  <si>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</si>
  <si>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</si>
  <si>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</si>
  <si>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</si>
  <si>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</si>
  <si>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mrk</t>
  </si>
  <si>
    <t>ms</t>
  </si>
  <si>
    <t>msft</t>
  </si>
  <si>
    <t>nee</t>
  </si>
  <si>
    <t>nflx</t>
  </si>
  <si>
    <t>nke</t>
  </si>
  <si>
    <t>nvda</t>
  </si>
  <si>
    <t>orcl</t>
  </si>
  <si>
    <t>oxy</t>
  </si>
  <si>
    <t>pep</t>
  </si>
  <si>
    <t>pfe</t>
  </si>
  <si>
    <t>pg</t>
  </si>
  <si>
    <t>pm</t>
  </si>
  <si>
    <t>pypl</t>
  </si>
  <si>
    <t>qcom</t>
  </si>
  <si>
    <t>rtn</t>
  </si>
  <si>
    <t>sbux</t>
  </si>
  <si>
    <t>slb</t>
  </si>
  <si>
    <t>so</t>
  </si>
  <si>
    <t>spg</t>
  </si>
  <si>
    <t>t</t>
  </si>
  <si>
    <t>tgt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</si>
  <si>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</si>
  <si>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</si>
  <si>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</si>
  <si>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</si>
  <si>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</si>
  <si>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</si>
  <si>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</si>
  <si>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</si>
  <si>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</si>
  <si>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</si>
  <si>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</si>
  <si>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</si>
  <si>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Time to Hold (Days)</t>
  </si>
  <si>
    <t>Time to Hold 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</si>
</sst>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Stock Data'!$H$1</c:f>
              <c:strCache>
                <c:ptCount val="1"/>
                <c:pt idx="0">
                  <c:v>Time to Hold (Days)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'Combined Stock Data'!$C$2:$C$102</c:f>
              <c:numCache>
                <c:formatCode>General</c:formatCode>
                <c:ptCount val="101"/>
                <c:pt idx="0">
                  <c:v>1887.934</c:v>
                </c:pt>
                <c:pt idx="1">
                  <c:v>1131.48</c:v>
                </c:pt>
                <c:pt idx="2">
                  <c:v>1008.285</c:v>
                </c:pt>
                <c:pt idx="3">
                  <c:v>562.96860000000004</c:v>
                </c:pt>
                <c:pt idx="4">
                  <c:v>547.29999999999995</c:v>
                </c:pt>
                <c:pt idx="5">
                  <c:v>438.10761000000002</c:v>
                </c:pt>
                <c:pt idx="6">
                  <c:v>422.534999999999</c:v>
                </c:pt>
                <c:pt idx="7">
                  <c:v>369.87400000000002</c:v>
                </c:pt>
                <c:pt idx="8">
                  <c:v>330.4144</c:v>
                </c:pt>
                <c:pt idx="9">
                  <c:v>320.434699999999</c:v>
                </c:pt>
                <c:pt idx="10">
                  <c:v>264.39804999999899</c:v>
                </c:pt>
                <c:pt idx="11">
                  <c:v>236.2612</c:v>
                </c:pt>
                <c:pt idx="12">
                  <c:v>228.08750000000001</c:v>
                </c:pt>
                <c:pt idx="13">
                  <c:v>214.87809999999999</c:v>
                </c:pt>
                <c:pt idx="14">
                  <c:v>213.56808000000001</c:v>
                </c:pt>
                <c:pt idx="15">
                  <c:v>212.60874000000001</c:v>
                </c:pt>
                <c:pt idx="16">
                  <c:v>207.5797</c:v>
                </c:pt>
                <c:pt idx="17">
                  <c:v>203.751</c:v>
                </c:pt>
                <c:pt idx="18">
                  <c:v>201.39</c:v>
                </c:pt>
                <c:pt idx="19">
                  <c:v>190.92984999999999</c:v>
                </c:pt>
                <c:pt idx="20">
                  <c:v>183.2424</c:v>
                </c:pt>
                <c:pt idx="21">
                  <c:v>182.9699</c:v>
                </c:pt>
                <c:pt idx="22">
                  <c:v>176.73769999999999</c:v>
                </c:pt>
                <c:pt idx="23">
                  <c:v>175.37949</c:v>
                </c:pt>
                <c:pt idx="24">
                  <c:v>170.58378999999999</c:v>
                </c:pt>
                <c:pt idx="25">
                  <c:v>167.62414999999999</c:v>
                </c:pt>
                <c:pt idx="26">
                  <c:v>164.93</c:v>
                </c:pt>
                <c:pt idx="27">
                  <c:v>146.32759999999999</c:v>
                </c:pt>
                <c:pt idx="28">
                  <c:v>146.2473</c:v>
                </c:pt>
                <c:pt idx="29">
                  <c:v>143.23749000000001</c:v>
                </c:pt>
                <c:pt idx="30">
                  <c:v>139.67500000000001</c:v>
                </c:pt>
                <c:pt idx="31">
                  <c:v>137.43539999999999</c:v>
                </c:pt>
                <c:pt idx="32">
                  <c:v>126.653999999999</c:v>
                </c:pt>
                <c:pt idx="33">
                  <c:v>126.13</c:v>
                </c:pt>
                <c:pt idx="34">
                  <c:v>122.75447</c:v>
                </c:pt>
                <c:pt idx="35">
                  <c:v>119.6467</c:v>
                </c:pt>
                <c:pt idx="36">
                  <c:v>117.95702</c:v>
                </c:pt>
                <c:pt idx="37">
                  <c:v>117.3909</c:v>
                </c:pt>
                <c:pt idx="38">
                  <c:v>115.702109999999</c:v>
                </c:pt>
                <c:pt idx="39">
                  <c:v>115.2146</c:v>
                </c:pt>
                <c:pt idx="40">
                  <c:v>105.9893</c:v>
                </c:pt>
                <c:pt idx="41">
                  <c:v>104.9688</c:v>
                </c:pt>
                <c:pt idx="42">
                  <c:v>102.392</c:v>
                </c:pt>
                <c:pt idx="43">
                  <c:v>101.101</c:v>
                </c:pt>
                <c:pt idx="44">
                  <c:v>100.3946</c:v>
                </c:pt>
                <c:pt idx="45">
                  <c:v>97.587100000000007</c:v>
                </c:pt>
                <c:pt idx="46">
                  <c:v>96.367999999999995</c:v>
                </c:pt>
                <c:pt idx="47">
                  <c:v>95.940190000000001</c:v>
                </c:pt>
                <c:pt idx="48">
                  <c:v>92.689499999999995</c:v>
                </c:pt>
                <c:pt idx="49">
                  <c:v>91.319100000000006</c:v>
                </c:pt>
                <c:pt idx="50">
                  <c:v>91.189899999999994</c:v>
                </c:pt>
                <c:pt idx="51">
                  <c:v>90.911789999999996</c:v>
                </c:pt>
                <c:pt idx="52">
                  <c:v>90.720600000000005</c:v>
                </c:pt>
                <c:pt idx="53">
                  <c:v>90.677899999999994</c:v>
                </c:pt>
                <c:pt idx="54">
                  <c:v>90.259</c:v>
                </c:pt>
                <c:pt idx="55">
                  <c:v>88.415999999999997</c:v>
                </c:pt>
                <c:pt idx="56">
                  <c:v>88.088310000000007</c:v>
                </c:pt>
                <c:pt idx="57">
                  <c:v>86.755899999999997</c:v>
                </c:pt>
                <c:pt idx="58">
                  <c:v>85.395700000000005</c:v>
                </c:pt>
                <c:pt idx="59">
                  <c:v>84.730029999999999</c:v>
                </c:pt>
                <c:pt idx="60">
                  <c:v>84.492800000000003</c:v>
                </c:pt>
                <c:pt idx="61">
                  <c:v>78.158000000000001</c:v>
                </c:pt>
                <c:pt idx="62">
                  <c:v>76.998800000000003</c:v>
                </c:pt>
                <c:pt idx="63">
                  <c:v>76.875380000000007</c:v>
                </c:pt>
                <c:pt idx="64">
                  <c:v>76.095110000000005</c:v>
                </c:pt>
                <c:pt idx="65">
                  <c:v>75.352800000000002</c:v>
                </c:pt>
                <c:pt idx="66">
                  <c:v>74.108859999999893</c:v>
                </c:pt>
                <c:pt idx="67">
                  <c:v>73.616900000000001</c:v>
                </c:pt>
                <c:pt idx="68">
                  <c:v>72.428599999999904</c:v>
                </c:pt>
                <c:pt idx="69">
                  <c:v>68.586699999999993</c:v>
                </c:pt>
                <c:pt idx="70">
                  <c:v>68.238</c:v>
                </c:pt>
                <c:pt idx="71">
                  <c:v>67.523700000000005</c:v>
                </c:pt>
                <c:pt idx="72">
                  <c:v>66.088139999999996</c:v>
                </c:pt>
                <c:pt idx="73">
                  <c:v>65.905199999999994</c:v>
                </c:pt>
                <c:pt idx="74">
                  <c:v>65.379949999999994</c:v>
                </c:pt>
                <c:pt idx="75">
                  <c:v>63.975140000000003</c:v>
                </c:pt>
                <c:pt idx="76">
                  <c:v>59.986089999999997</c:v>
                </c:pt>
                <c:pt idx="77">
                  <c:v>57.778599999999997</c:v>
                </c:pt>
                <c:pt idx="78">
                  <c:v>55.6601</c:v>
                </c:pt>
                <c:pt idx="79">
                  <c:v>54.021599999999999</c:v>
                </c:pt>
                <c:pt idx="80">
                  <c:v>53.555599999999998</c:v>
                </c:pt>
                <c:pt idx="81">
                  <c:v>52.692700000000002</c:v>
                </c:pt>
                <c:pt idx="82">
                  <c:v>52.473599999999998</c:v>
                </c:pt>
                <c:pt idx="83">
                  <c:v>50.578399999999903</c:v>
                </c:pt>
                <c:pt idx="84">
                  <c:v>49.447399999999902</c:v>
                </c:pt>
                <c:pt idx="85">
                  <c:v>47.596980000000002</c:v>
                </c:pt>
                <c:pt idx="86">
                  <c:v>46.374200000000002</c:v>
                </c:pt>
                <c:pt idx="87">
                  <c:v>46.228479999999998</c:v>
                </c:pt>
                <c:pt idx="88">
                  <c:v>44.14</c:v>
                </c:pt>
                <c:pt idx="89">
                  <c:v>40.959699999999998</c:v>
                </c:pt>
                <c:pt idx="90">
                  <c:v>40.004100000000001</c:v>
                </c:pt>
                <c:pt idx="91">
                  <c:v>36.943100000000001</c:v>
                </c:pt>
                <c:pt idx="92">
                  <c:v>34.118000000000002</c:v>
                </c:pt>
                <c:pt idx="93">
                  <c:v>33.443199999999997</c:v>
                </c:pt>
                <c:pt idx="94">
                  <c:v>31.424799999999902</c:v>
                </c:pt>
                <c:pt idx="95">
                  <c:v>30.934999999999899</c:v>
                </c:pt>
                <c:pt idx="96">
                  <c:v>30.380999999999901</c:v>
                </c:pt>
                <c:pt idx="97">
                  <c:v>29.832999999999899</c:v>
                </c:pt>
                <c:pt idx="98">
                  <c:v>24.76023</c:v>
                </c:pt>
                <c:pt idx="99">
                  <c:v>21.968</c:v>
                </c:pt>
              </c:numCache>
            </c:numRef>
          </c:xVal>
          <c:yVal>
            <c:numRef>
              <c:f>'Combined Stock Data'!$H$2:$H$102</c:f>
              <c:numCache>
                <c:formatCode>General</c:formatCode>
                <c:ptCount val="101"/>
                <c:pt idx="0">
                  <c:v>5849</c:v>
                </c:pt>
                <c:pt idx="1">
                  <c:v>7475</c:v>
                </c:pt>
                <c:pt idx="2">
                  <c:v>4814</c:v>
                </c:pt>
                <c:pt idx="3">
                  <c:v>9394</c:v>
                </c:pt>
                <c:pt idx="4">
                  <c:v>1031</c:v>
                </c:pt>
                <c:pt idx="5">
                  <c:v>7399</c:v>
                </c:pt>
                <c:pt idx="6">
                  <c:v>4563</c:v>
                </c:pt>
                <c:pt idx="7">
                  <c:v>2750</c:v>
                </c:pt>
                <c:pt idx="8">
                  <c:v>8191</c:v>
                </c:pt>
                <c:pt idx="9">
                  <c:v>14780</c:v>
                </c:pt>
                <c:pt idx="10">
                  <c:v>16009</c:v>
                </c:pt>
                <c:pt idx="11">
                  <c:v>17277</c:v>
                </c:pt>
                <c:pt idx="12">
                  <c:v>13688</c:v>
                </c:pt>
                <c:pt idx="13">
                  <c:v>6773</c:v>
                </c:pt>
                <c:pt idx="14">
                  <c:v>14486</c:v>
                </c:pt>
                <c:pt idx="15">
                  <c:v>10084</c:v>
                </c:pt>
                <c:pt idx="16">
                  <c:v>8263</c:v>
                </c:pt>
                <c:pt idx="17">
                  <c:v>3025</c:v>
                </c:pt>
                <c:pt idx="18">
                  <c:v>4589</c:v>
                </c:pt>
                <c:pt idx="19">
                  <c:v>11988</c:v>
                </c:pt>
                <c:pt idx="20">
                  <c:v>13007</c:v>
                </c:pt>
                <c:pt idx="21">
                  <c:v>18536</c:v>
                </c:pt>
                <c:pt idx="22">
                  <c:v>10778</c:v>
                </c:pt>
                <c:pt idx="23">
                  <c:v>11773</c:v>
                </c:pt>
                <c:pt idx="24">
                  <c:v>17333</c:v>
                </c:pt>
                <c:pt idx="25">
                  <c:v>13183</c:v>
                </c:pt>
                <c:pt idx="26">
                  <c:v>1884</c:v>
                </c:pt>
                <c:pt idx="27">
                  <c:v>4184</c:v>
                </c:pt>
                <c:pt idx="28">
                  <c:v>17333</c:v>
                </c:pt>
                <c:pt idx="29">
                  <c:v>17317</c:v>
                </c:pt>
                <c:pt idx="30">
                  <c:v>4601</c:v>
                </c:pt>
                <c:pt idx="31">
                  <c:v>17283</c:v>
                </c:pt>
                <c:pt idx="32">
                  <c:v>4578</c:v>
                </c:pt>
                <c:pt idx="33">
                  <c:v>3304</c:v>
                </c:pt>
                <c:pt idx="34">
                  <c:v>17173</c:v>
                </c:pt>
                <c:pt idx="35">
                  <c:v>17269</c:v>
                </c:pt>
                <c:pt idx="36">
                  <c:v>14841</c:v>
                </c:pt>
                <c:pt idx="37">
                  <c:v>13657</c:v>
                </c:pt>
                <c:pt idx="38">
                  <c:v>7687</c:v>
                </c:pt>
                <c:pt idx="39">
                  <c:v>12865</c:v>
                </c:pt>
                <c:pt idx="40">
                  <c:v>11165</c:v>
                </c:pt>
                <c:pt idx="41">
                  <c:v>10195</c:v>
                </c:pt>
                <c:pt idx="42">
                  <c:v>3214</c:v>
                </c:pt>
                <c:pt idx="43">
                  <c:v>10437</c:v>
                </c:pt>
                <c:pt idx="44">
                  <c:v>15295</c:v>
                </c:pt>
                <c:pt idx="45">
                  <c:v>13081</c:v>
                </c:pt>
                <c:pt idx="46">
                  <c:v>3030</c:v>
                </c:pt>
                <c:pt idx="47">
                  <c:v>15737</c:v>
                </c:pt>
                <c:pt idx="48">
                  <c:v>17284</c:v>
                </c:pt>
                <c:pt idx="49">
                  <c:v>10894</c:v>
                </c:pt>
                <c:pt idx="50">
                  <c:v>10493</c:v>
                </c:pt>
                <c:pt idx="51">
                  <c:v>15680</c:v>
                </c:pt>
                <c:pt idx="52">
                  <c:v>8118</c:v>
                </c:pt>
                <c:pt idx="53">
                  <c:v>16197</c:v>
                </c:pt>
                <c:pt idx="54">
                  <c:v>8601</c:v>
                </c:pt>
                <c:pt idx="55">
                  <c:v>3129</c:v>
                </c:pt>
                <c:pt idx="56">
                  <c:v>12059</c:v>
                </c:pt>
                <c:pt idx="57">
                  <c:v>12572</c:v>
                </c:pt>
                <c:pt idx="58">
                  <c:v>12844</c:v>
                </c:pt>
                <c:pt idx="59">
                  <c:v>10751</c:v>
                </c:pt>
                <c:pt idx="60">
                  <c:v>11555</c:v>
                </c:pt>
                <c:pt idx="61">
                  <c:v>11654</c:v>
                </c:pt>
                <c:pt idx="62">
                  <c:v>11662</c:v>
                </c:pt>
                <c:pt idx="63">
                  <c:v>17301</c:v>
                </c:pt>
                <c:pt idx="64">
                  <c:v>13587</c:v>
                </c:pt>
                <c:pt idx="65">
                  <c:v>2658</c:v>
                </c:pt>
                <c:pt idx="66">
                  <c:v>11095</c:v>
                </c:pt>
                <c:pt idx="67">
                  <c:v>14295</c:v>
                </c:pt>
                <c:pt idx="68">
                  <c:v>10516</c:v>
                </c:pt>
                <c:pt idx="69">
                  <c:v>10335</c:v>
                </c:pt>
                <c:pt idx="70">
                  <c:v>1745</c:v>
                </c:pt>
                <c:pt idx="71">
                  <c:v>11661</c:v>
                </c:pt>
                <c:pt idx="72">
                  <c:v>3456</c:v>
                </c:pt>
                <c:pt idx="73">
                  <c:v>13030</c:v>
                </c:pt>
                <c:pt idx="74">
                  <c:v>10265</c:v>
                </c:pt>
                <c:pt idx="75">
                  <c:v>9107</c:v>
                </c:pt>
                <c:pt idx="76">
                  <c:v>10457</c:v>
                </c:pt>
                <c:pt idx="77">
                  <c:v>11774</c:v>
                </c:pt>
                <c:pt idx="78">
                  <c:v>12261</c:v>
                </c:pt>
                <c:pt idx="79">
                  <c:v>9620</c:v>
                </c:pt>
                <c:pt idx="80">
                  <c:v>9843</c:v>
                </c:pt>
                <c:pt idx="81">
                  <c:v>13077</c:v>
                </c:pt>
                <c:pt idx="82">
                  <c:v>9816</c:v>
                </c:pt>
                <c:pt idx="83">
                  <c:v>11880</c:v>
                </c:pt>
                <c:pt idx="84">
                  <c:v>6923</c:v>
                </c:pt>
                <c:pt idx="85">
                  <c:v>13947</c:v>
                </c:pt>
                <c:pt idx="86">
                  <c:v>3164</c:v>
                </c:pt>
                <c:pt idx="87">
                  <c:v>15718</c:v>
                </c:pt>
                <c:pt idx="88">
                  <c:v>771</c:v>
                </c:pt>
                <c:pt idx="89">
                  <c:v>9804</c:v>
                </c:pt>
                <c:pt idx="90">
                  <c:v>11929</c:v>
                </c:pt>
                <c:pt idx="91">
                  <c:v>6235</c:v>
                </c:pt>
                <c:pt idx="92">
                  <c:v>3011</c:v>
                </c:pt>
                <c:pt idx="93">
                  <c:v>2121</c:v>
                </c:pt>
                <c:pt idx="94">
                  <c:v>2121</c:v>
                </c:pt>
                <c:pt idx="95">
                  <c:v>762</c:v>
                </c:pt>
                <c:pt idx="96">
                  <c:v>1917</c:v>
                </c:pt>
                <c:pt idx="97">
                  <c:v>507</c:v>
                </c:pt>
                <c:pt idx="98">
                  <c:v>6395</c:v>
                </c:pt>
                <c:pt idx="99">
                  <c:v>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D-44DD-A223-D71AE74FE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86960"/>
        <c:axId val="474879088"/>
      </c:scatterChart>
      <c:valAx>
        <c:axId val="47488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9088"/>
        <c:crosses val="autoZero"/>
        <c:crossBetween val="midCat"/>
      </c:valAx>
      <c:valAx>
        <c:axId val="4748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</a:t>
                </a:r>
                <a:r>
                  <a:rPr lang="en-US" baseline="0"/>
                  <a:t> Hold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8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v>holdvProfit</c:v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xVal>
            <c:strRef>
              <c:f>'Combined Stock Data'!$I:$I</c:f>
              <c:strCache>
                <c:ptCount val="101"/>
                <c:pt idx="0">
                  <c:v>Time to Hold (Years)</c:v>
                </c:pt>
                <c:pt idx="1">
                  <c:v>16.02465753</c:v>
                </c:pt>
                <c:pt idx="2">
                  <c:v>20.47945205</c:v>
                </c:pt>
                <c:pt idx="3">
                  <c:v>13.1890411</c:v>
                </c:pt>
                <c:pt idx="4">
                  <c:v>25.7369863</c:v>
                </c:pt>
                <c:pt idx="5">
                  <c:v>2.824657534</c:v>
                </c:pt>
                <c:pt idx="6">
                  <c:v>20.27123288</c:v>
                </c:pt>
                <c:pt idx="7">
                  <c:v>12.50136986</c:v>
                </c:pt>
                <c:pt idx="8">
                  <c:v>7.534246575</c:v>
                </c:pt>
                <c:pt idx="9">
                  <c:v>22.44109589</c:v>
                </c:pt>
                <c:pt idx="10">
                  <c:v>40.49315068</c:v>
                </c:pt>
                <c:pt idx="11">
                  <c:v>43.86027397</c:v>
                </c:pt>
                <c:pt idx="12">
                  <c:v>47.33424658</c:v>
                </c:pt>
                <c:pt idx="13">
                  <c:v>37.50136986</c:v>
                </c:pt>
                <c:pt idx="14">
                  <c:v>18.55616438</c:v>
                </c:pt>
                <c:pt idx="15">
                  <c:v>39.68767123</c:v>
                </c:pt>
                <c:pt idx="16">
                  <c:v>27.62739726</c:v>
                </c:pt>
                <c:pt idx="17">
                  <c:v>22.63835616</c:v>
                </c:pt>
                <c:pt idx="18">
                  <c:v>8.287671233</c:v>
                </c:pt>
                <c:pt idx="19">
                  <c:v>12.57260274</c:v>
                </c:pt>
                <c:pt idx="20">
                  <c:v>32.84383562</c:v>
                </c:pt>
                <c:pt idx="21">
                  <c:v>35.63561644</c:v>
                </c:pt>
                <c:pt idx="22">
                  <c:v>50.78356164</c:v>
                </c:pt>
                <c:pt idx="23">
                  <c:v>29.52876712</c:v>
                </c:pt>
                <c:pt idx="24">
                  <c:v>32.25479452</c:v>
                </c:pt>
                <c:pt idx="25">
                  <c:v>47.48767123</c:v>
                </c:pt>
                <c:pt idx="26">
                  <c:v>36.11780822</c:v>
                </c:pt>
                <c:pt idx="27">
                  <c:v>5.161643836</c:v>
                </c:pt>
                <c:pt idx="28">
                  <c:v>11.4630137</c:v>
                </c:pt>
                <c:pt idx="29">
                  <c:v>47.48767123</c:v>
                </c:pt>
                <c:pt idx="30">
                  <c:v>47.44383562</c:v>
                </c:pt>
                <c:pt idx="31">
                  <c:v>12.60547945</c:v>
                </c:pt>
                <c:pt idx="32">
                  <c:v>47.35068493</c:v>
                </c:pt>
                <c:pt idx="33">
                  <c:v>12.54246575</c:v>
                </c:pt>
                <c:pt idx="34">
                  <c:v>9.052054795</c:v>
                </c:pt>
                <c:pt idx="35">
                  <c:v>47.04931507</c:v>
                </c:pt>
                <c:pt idx="36">
                  <c:v>47.31232877</c:v>
                </c:pt>
                <c:pt idx="37">
                  <c:v>40.66027397</c:v>
                </c:pt>
                <c:pt idx="38">
                  <c:v>37.41643836</c:v>
                </c:pt>
                <c:pt idx="39">
                  <c:v>21.06027397</c:v>
                </c:pt>
                <c:pt idx="40">
                  <c:v>35.24657534</c:v>
                </c:pt>
                <c:pt idx="41">
                  <c:v>30.5890411</c:v>
                </c:pt>
                <c:pt idx="42">
                  <c:v>27.93150685</c:v>
                </c:pt>
                <c:pt idx="43">
                  <c:v>8.805479452</c:v>
                </c:pt>
                <c:pt idx="44">
                  <c:v>28.59452055</c:v>
                </c:pt>
                <c:pt idx="45">
                  <c:v>41.90410959</c:v>
                </c:pt>
                <c:pt idx="46">
                  <c:v>35.83835616</c:v>
                </c:pt>
                <c:pt idx="47">
                  <c:v>8.301369863</c:v>
                </c:pt>
                <c:pt idx="48">
                  <c:v>43.11506849</c:v>
                </c:pt>
                <c:pt idx="49">
                  <c:v>47.35342466</c:v>
                </c:pt>
                <c:pt idx="50">
                  <c:v>29.84657534</c:v>
                </c:pt>
                <c:pt idx="51">
                  <c:v>28.74794521</c:v>
                </c:pt>
                <c:pt idx="52">
                  <c:v>42.95890411</c:v>
                </c:pt>
                <c:pt idx="53">
                  <c:v>22.24109589</c:v>
                </c:pt>
                <c:pt idx="54">
                  <c:v>44.37534247</c:v>
                </c:pt>
                <c:pt idx="55">
                  <c:v>23.56438356</c:v>
                </c:pt>
                <c:pt idx="56">
                  <c:v>8.57260274</c:v>
                </c:pt>
                <c:pt idx="57">
                  <c:v>33.03835616</c:v>
                </c:pt>
                <c:pt idx="58">
                  <c:v>34.44383562</c:v>
                </c:pt>
                <c:pt idx="59">
                  <c:v>35.1890411</c:v>
                </c:pt>
                <c:pt idx="60">
                  <c:v>29.45479452</c:v>
                </c:pt>
                <c:pt idx="61">
                  <c:v>31.65753425</c:v>
                </c:pt>
                <c:pt idx="62">
                  <c:v>31.92876712</c:v>
                </c:pt>
                <c:pt idx="63">
                  <c:v>31.95068493</c:v>
                </c:pt>
                <c:pt idx="64">
                  <c:v>47.4</c:v>
                </c:pt>
                <c:pt idx="65">
                  <c:v>37.22465753</c:v>
                </c:pt>
                <c:pt idx="66">
                  <c:v>7.282191781</c:v>
                </c:pt>
                <c:pt idx="67">
                  <c:v>30.39726027</c:v>
                </c:pt>
                <c:pt idx="68">
                  <c:v>39.16438356</c:v>
                </c:pt>
                <c:pt idx="69">
                  <c:v>28.8109589</c:v>
                </c:pt>
                <c:pt idx="70">
                  <c:v>28.31506849</c:v>
                </c:pt>
                <c:pt idx="71">
                  <c:v>4.780821918</c:v>
                </c:pt>
                <c:pt idx="72">
                  <c:v>31.94794521</c:v>
                </c:pt>
                <c:pt idx="73">
                  <c:v>9.468493151</c:v>
                </c:pt>
                <c:pt idx="74">
                  <c:v>35.69863014</c:v>
                </c:pt>
                <c:pt idx="75">
                  <c:v>28.12328767</c:v>
                </c:pt>
                <c:pt idx="76">
                  <c:v>24.95068493</c:v>
                </c:pt>
                <c:pt idx="77">
                  <c:v>28.64931507</c:v>
                </c:pt>
                <c:pt idx="78">
                  <c:v>32.25753425</c:v>
                </c:pt>
                <c:pt idx="79">
                  <c:v>33.59178082</c:v>
                </c:pt>
                <c:pt idx="80">
                  <c:v>26.35616438</c:v>
                </c:pt>
                <c:pt idx="81">
                  <c:v>26.96712329</c:v>
                </c:pt>
                <c:pt idx="82">
                  <c:v>35.82739726</c:v>
                </c:pt>
                <c:pt idx="83">
                  <c:v>26.89315068</c:v>
                </c:pt>
                <c:pt idx="84">
                  <c:v>32.54794521</c:v>
                </c:pt>
                <c:pt idx="85">
                  <c:v>18.96712329</c:v>
                </c:pt>
                <c:pt idx="86">
                  <c:v>38.2109589</c:v>
                </c:pt>
                <c:pt idx="87">
                  <c:v>8.668493151</c:v>
                </c:pt>
                <c:pt idx="88">
                  <c:v>43.0630137</c:v>
                </c:pt>
                <c:pt idx="89">
                  <c:v>2.112328767</c:v>
                </c:pt>
                <c:pt idx="90">
                  <c:v>26.86027397</c:v>
                </c:pt>
                <c:pt idx="91">
                  <c:v>32.68219178</c:v>
                </c:pt>
                <c:pt idx="92">
                  <c:v>17.08219178</c:v>
                </c:pt>
                <c:pt idx="93">
                  <c:v>8.249315068</c:v>
                </c:pt>
                <c:pt idx="94">
                  <c:v>5.810958904</c:v>
                </c:pt>
                <c:pt idx="95">
                  <c:v>5.810958904</c:v>
                </c:pt>
                <c:pt idx="96">
                  <c:v>2.087671233</c:v>
                </c:pt>
                <c:pt idx="97">
                  <c:v>5.252054795</c:v>
                </c:pt>
                <c:pt idx="98">
                  <c:v>1.389041096</c:v>
                </c:pt>
                <c:pt idx="99">
                  <c:v>17.52054795</c:v>
                </c:pt>
                <c:pt idx="100">
                  <c:v>3.709589041</c:v>
                </c:pt>
              </c:strCache>
            </c:strRef>
          </c:xVal>
          <c:yVal>
            <c:numRef>
              <c:f>'Combined Stock Data'!$E:$E</c:f>
              <c:numCache>
                <c:formatCode>General</c:formatCode>
                <c:ptCount val="1048576"/>
                <c:pt idx="0">
                  <c:v>0</c:v>
                </c:pt>
                <c:pt idx="1">
                  <c:v>46.125999999999998</c:v>
                </c:pt>
                <c:pt idx="2">
                  <c:v>1.4</c:v>
                </c:pt>
                <c:pt idx="3">
                  <c:v>50.005000000000003</c:v>
                </c:pt>
                <c:pt idx="4">
                  <c:v>5.1414</c:v>
                </c:pt>
                <c:pt idx="5">
                  <c:v>492.55</c:v>
                </c:pt>
                <c:pt idx="6">
                  <c:v>0.32239000000000001</c:v>
                </c:pt>
                <c:pt idx="7">
                  <c:v>58.055</c:v>
                </c:pt>
                <c:pt idx="8">
                  <c:v>32.625999999999998</c:v>
                </c:pt>
                <c:pt idx="9">
                  <c:v>6.0655999999999999</c:v>
                </c:pt>
                <c:pt idx="10">
                  <c:v>0.71530000000000005</c:v>
                </c:pt>
                <c:pt idx="11">
                  <c:v>0.31195000000000001</c:v>
                </c:pt>
                <c:pt idx="12">
                  <c:v>1.4188000000000001</c:v>
                </c:pt>
                <c:pt idx="13">
                  <c:v>2.3824999999999998</c:v>
                </c:pt>
                <c:pt idx="14">
                  <c:v>1.2619</c:v>
                </c:pt>
                <c:pt idx="15">
                  <c:v>0.29191999999999901</c:v>
                </c:pt>
                <c:pt idx="16">
                  <c:v>0.26125999999999999</c:v>
                </c:pt>
                <c:pt idx="17">
                  <c:v>9.1702999999999992</c:v>
                </c:pt>
                <c:pt idx="18">
                  <c:v>47.428999999999903</c:v>
                </c:pt>
                <c:pt idx="19">
                  <c:v>1.29</c:v>
                </c:pt>
                <c:pt idx="20">
                  <c:v>7.0150000000000004E-2</c:v>
                </c:pt>
                <c:pt idx="21">
                  <c:v>5.9476000000000004</c:v>
                </c:pt>
                <c:pt idx="22">
                  <c:v>3.3900999999999999</c:v>
                </c:pt>
                <c:pt idx="23">
                  <c:v>4.8822999999999999</c:v>
                </c:pt>
                <c:pt idx="24">
                  <c:v>0.23050999999999999</c:v>
                </c:pt>
                <c:pt idx="25">
                  <c:v>0.18620999999999999</c:v>
                </c:pt>
                <c:pt idx="26">
                  <c:v>2.5850000000000001E-2</c:v>
                </c:pt>
                <c:pt idx="27">
                  <c:v>17.73</c:v>
                </c:pt>
                <c:pt idx="28">
                  <c:v>3.7624</c:v>
                </c:pt>
                <c:pt idx="29">
                  <c:v>0.72270000000000001</c:v>
                </c:pt>
                <c:pt idx="30">
                  <c:v>0.38251000000000002</c:v>
                </c:pt>
                <c:pt idx="31">
                  <c:v>6.8449999999999998</c:v>
                </c:pt>
                <c:pt idx="32">
                  <c:v>1.3746</c:v>
                </c:pt>
                <c:pt idx="33">
                  <c:v>18.236000000000001</c:v>
                </c:pt>
                <c:pt idx="34">
                  <c:v>29.71</c:v>
                </c:pt>
                <c:pt idx="35">
                  <c:v>0.20552999999999999</c:v>
                </c:pt>
                <c:pt idx="36">
                  <c:v>0.57330000000000003</c:v>
                </c:pt>
                <c:pt idx="37">
                  <c:v>0.28298000000000001</c:v>
                </c:pt>
                <c:pt idx="38">
                  <c:v>0.87909999999999999</c:v>
                </c:pt>
                <c:pt idx="39">
                  <c:v>0.20788999999999999</c:v>
                </c:pt>
                <c:pt idx="40">
                  <c:v>3.1753999999999998</c:v>
                </c:pt>
                <c:pt idx="41">
                  <c:v>2.2707000000000002</c:v>
                </c:pt>
                <c:pt idx="42">
                  <c:v>3.9211999999999998</c:v>
                </c:pt>
                <c:pt idx="43">
                  <c:v>10.077999999999999</c:v>
                </c:pt>
                <c:pt idx="44">
                  <c:v>0.38900000000000001</c:v>
                </c:pt>
                <c:pt idx="45">
                  <c:v>1.3754</c:v>
                </c:pt>
                <c:pt idx="46">
                  <c:v>0.95289999999999997</c:v>
                </c:pt>
                <c:pt idx="47">
                  <c:v>24.331999999999901</c:v>
                </c:pt>
                <c:pt idx="48">
                  <c:v>0.48981000000000002</c:v>
                </c:pt>
                <c:pt idx="49">
                  <c:v>1.0085</c:v>
                </c:pt>
                <c:pt idx="50">
                  <c:v>0.97789999999999999</c:v>
                </c:pt>
                <c:pt idx="51">
                  <c:v>1.8321000000000001</c:v>
                </c:pt>
                <c:pt idx="52">
                  <c:v>8.2100000000000003E-3</c:v>
                </c:pt>
                <c:pt idx="53">
                  <c:v>4.0503999999999998</c:v>
                </c:pt>
                <c:pt idx="54">
                  <c:v>1.2141</c:v>
                </c:pt>
                <c:pt idx="55">
                  <c:v>8.9209999999999994</c:v>
                </c:pt>
                <c:pt idx="56">
                  <c:v>31.484000000000002</c:v>
                </c:pt>
                <c:pt idx="57">
                  <c:v>0.28669</c:v>
                </c:pt>
                <c:pt idx="58">
                  <c:v>2.8740999999999999</c:v>
                </c:pt>
                <c:pt idx="59">
                  <c:v>2.2543000000000002</c:v>
                </c:pt>
                <c:pt idx="60">
                  <c:v>0.41597000000000001</c:v>
                </c:pt>
                <c:pt idx="61">
                  <c:v>6.7199999999999996E-2</c:v>
                </c:pt>
                <c:pt idx="62">
                  <c:v>1.3129999999999999</c:v>
                </c:pt>
                <c:pt idx="63">
                  <c:v>0.99819999999999998</c:v>
                </c:pt>
                <c:pt idx="64">
                  <c:v>1.4619999999999999E-2</c:v>
                </c:pt>
                <c:pt idx="65">
                  <c:v>0.28688999999999998</c:v>
                </c:pt>
                <c:pt idx="66">
                  <c:v>0.3382</c:v>
                </c:pt>
                <c:pt idx="67">
                  <c:v>0.39313999999999999</c:v>
                </c:pt>
                <c:pt idx="68">
                  <c:v>0.60809999999999997</c:v>
                </c:pt>
                <c:pt idx="69">
                  <c:v>0.89139999999999997</c:v>
                </c:pt>
                <c:pt idx="70">
                  <c:v>0.70330000000000004</c:v>
                </c:pt>
                <c:pt idx="71">
                  <c:v>28.241999999999901</c:v>
                </c:pt>
                <c:pt idx="72">
                  <c:v>2.6522999999999999</c:v>
                </c:pt>
                <c:pt idx="73">
                  <c:v>5.7860000000000002E-2</c:v>
                </c:pt>
                <c:pt idx="74">
                  <c:v>1.4748000000000001</c:v>
                </c:pt>
                <c:pt idx="75">
                  <c:v>0.17904999999999999</c:v>
                </c:pt>
                <c:pt idx="76">
                  <c:v>0.30485999999999902</c:v>
                </c:pt>
                <c:pt idx="77">
                  <c:v>7.90999999999999E-3</c:v>
                </c:pt>
                <c:pt idx="78">
                  <c:v>0.69840000000000002</c:v>
                </c:pt>
                <c:pt idx="79">
                  <c:v>0.65990000000000004</c:v>
                </c:pt>
                <c:pt idx="80">
                  <c:v>1.4734</c:v>
                </c:pt>
                <c:pt idx="81">
                  <c:v>1.0713999999999999</c:v>
                </c:pt>
                <c:pt idx="82">
                  <c:v>0.55730000000000002</c:v>
                </c:pt>
                <c:pt idx="83">
                  <c:v>0.11940000000000001</c:v>
                </c:pt>
                <c:pt idx="84">
                  <c:v>2.4685999999999999</c:v>
                </c:pt>
                <c:pt idx="85">
                  <c:v>2.3096000000000001</c:v>
                </c:pt>
                <c:pt idx="86">
                  <c:v>0.45901999999999998</c:v>
                </c:pt>
                <c:pt idx="87">
                  <c:v>8.9558</c:v>
                </c:pt>
                <c:pt idx="88">
                  <c:v>0.39151999999999998</c:v>
                </c:pt>
                <c:pt idx="89">
                  <c:v>30.63</c:v>
                </c:pt>
                <c:pt idx="90">
                  <c:v>0.76329999999999998</c:v>
                </c:pt>
                <c:pt idx="91">
                  <c:v>1.0468999999999999</c:v>
                </c:pt>
                <c:pt idx="92">
                  <c:v>0.50090000000000001</c:v>
                </c:pt>
                <c:pt idx="93">
                  <c:v>12.613</c:v>
                </c:pt>
                <c:pt idx="94">
                  <c:v>4.1917999999999997</c:v>
                </c:pt>
                <c:pt idx="95">
                  <c:v>4.7472000000000003</c:v>
                </c:pt>
                <c:pt idx="96">
                  <c:v>36.317</c:v>
                </c:pt>
                <c:pt idx="97">
                  <c:v>16.099</c:v>
                </c:pt>
                <c:pt idx="98">
                  <c:v>64.855000000000004</c:v>
                </c:pt>
                <c:pt idx="99">
                  <c:v>0.21276999999999999</c:v>
                </c:pt>
                <c:pt idx="100">
                  <c:v>18.547000000000001</c:v>
                </c:pt>
              </c:numCache>
            </c:numRef>
          </c:yVal>
          <c:bubbleSize>
            <c:numRef>
              <c:f>'Combined Stock Data'!$C:$C</c:f>
              <c:numCache>
                <c:formatCode>General</c:formatCode>
                <c:ptCount val="1048576"/>
                <c:pt idx="0">
                  <c:v>0</c:v>
                </c:pt>
                <c:pt idx="1">
                  <c:v>1887.934</c:v>
                </c:pt>
                <c:pt idx="2">
                  <c:v>1131.48</c:v>
                </c:pt>
                <c:pt idx="3">
                  <c:v>1008.285</c:v>
                </c:pt>
                <c:pt idx="4">
                  <c:v>562.96860000000004</c:v>
                </c:pt>
                <c:pt idx="5">
                  <c:v>547.29999999999995</c:v>
                </c:pt>
                <c:pt idx="6">
                  <c:v>438.10761000000002</c:v>
                </c:pt>
                <c:pt idx="7">
                  <c:v>422.534999999999</c:v>
                </c:pt>
                <c:pt idx="8">
                  <c:v>369.87400000000002</c:v>
                </c:pt>
                <c:pt idx="9">
                  <c:v>330.4144</c:v>
                </c:pt>
                <c:pt idx="10">
                  <c:v>320.434699999999</c:v>
                </c:pt>
                <c:pt idx="11">
                  <c:v>264.39804999999899</c:v>
                </c:pt>
                <c:pt idx="12">
                  <c:v>236.2612</c:v>
                </c:pt>
                <c:pt idx="13">
                  <c:v>228.08750000000001</c:v>
                </c:pt>
                <c:pt idx="14">
                  <c:v>214.87809999999999</c:v>
                </c:pt>
                <c:pt idx="15">
                  <c:v>213.56808000000001</c:v>
                </c:pt>
                <c:pt idx="16">
                  <c:v>212.60874000000001</c:v>
                </c:pt>
                <c:pt idx="17">
                  <c:v>207.5797</c:v>
                </c:pt>
                <c:pt idx="18">
                  <c:v>203.751</c:v>
                </c:pt>
                <c:pt idx="19">
                  <c:v>201.39</c:v>
                </c:pt>
                <c:pt idx="20">
                  <c:v>190.92984999999999</c:v>
                </c:pt>
                <c:pt idx="21">
                  <c:v>183.2424</c:v>
                </c:pt>
                <c:pt idx="22">
                  <c:v>182.9699</c:v>
                </c:pt>
                <c:pt idx="23">
                  <c:v>176.73769999999999</c:v>
                </c:pt>
                <c:pt idx="24">
                  <c:v>175.37949</c:v>
                </c:pt>
                <c:pt idx="25">
                  <c:v>170.58378999999999</c:v>
                </c:pt>
                <c:pt idx="26">
                  <c:v>167.62414999999999</c:v>
                </c:pt>
                <c:pt idx="27">
                  <c:v>164.93</c:v>
                </c:pt>
                <c:pt idx="28">
                  <c:v>146.32759999999999</c:v>
                </c:pt>
                <c:pt idx="29">
                  <c:v>146.2473</c:v>
                </c:pt>
                <c:pt idx="30">
                  <c:v>143.23749000000001</c:v>
                </c:pt>
                <c:pt idx="31">
                  <c:v>139.67500000000001</c:v>
                </c:pt>
                <c:pt idx="32">
                  <c:v>137.43539999999999</c:v>
                </c:pt>
                <c:pt idx="33">
                  <c:v>126.653999999999</c:v>
                </c:pt>
                <c:pt idx="34">
                  <c:v>126.13</c:v>
                </c:pt>
                <c:pt idx="35">
                  <c:v>122.75447</c:v>
                </c:pt>
                <c:pt idx="36">
                  <c:v>119.6467</c:v>
                </c:pt>
                <c:pt idx="37">
                  <c:v>117.95702</c:v>
                </c:pt>
                <c:pt idx="38">
                  <c:v>117.3909</c:v>
                </c:pt>
                <c:pt idx="39">
                  <c:v>115.702109999999</c:v>
                </c:pt>
                <c:pt idx="40">
                  <c:v>115.2146</c:v>
                </c:pt>
                <c:pt idx="41">
                  <c:v>105.9893</c:v>
                </c:pt>
                <c:pt idx="42">
                  <c:v>104.9688</c:v>
                </c:pt>
                <c:pt idx="43">
                  <c:v>102.392</c:v>
                </c:pt>
                <c:pt idx="44">
                  <c:v>101.101</c:v>
                </c:pt>
                <c:pt idx="45">
                  <c:v>100.3946</c:v>
                </c:pt>
                <c:pt idx="46">
                  <c:v>97.587100000000007</c:v>
                </c:pt>
                <c:pt idx="47">
                  <c:v>96.367999999999995</c:v>
                </c:pt>
                <c:pt idx="48">
                  <c:v>95.940190000000001</c:v>
                </c:pt>
                <c:pt idx="49">
                  <c:v>92.689499999999995</c:v>
                </c:pt>
                <c:pt idx="50">
                  <c:v>91.319100000000006</c:v>
                </c:pt>
                <c:pt idx="51">
                  <c:v>91.189899999999994</c:v>
                </c:pt>
                <c:pt idx="52">
                  <c:v>90.911789999999996</c:v>
                </c:pt>
                <c:pt idx="53">
                  <c:v>90.720600000000005</c:v>
                </c:pt>
                <c:pt idx="54">
                  <c:v>90.677899999999994</c:v>
                </c:pt>
                <c:pt idx="55">
                  <c:v>90.259</c:v>
                </c:pt>
                <c:pt idx="56">
                  <c:v>88.415999999999997</c:v>
                </c:pt>
                <c:pt idx="57">
                  <c:v>88.088310000000007</c:v>
                </c:pt>
                <c:pt idx="58">
                  <c:v>86.755899999999997</c:v>
                </c:pt>
                <c:pt idx="59">
                  <c:v>85.395700000000005</c:v>
                </c:pt>
                <c:pt idx="60">
                  <c:v>84.730029999999999</c:v>
                </c:pt>
                <c:pt idx="61">
                  <c:v>84.492800000000003</c:v>
                </c:pt>
                <c:pt idx="62">
                  <c:v>78.158000000000001</c:v>
                </c:pt>
                <c:pt idx="63">
                  <c:v>76.998800000000003</c:v>
                </c:pt>
                <c:pt idx="64">
                  <c:v>76.875380000000007</c:v>
                </c:pt>
                <c:pt idx="65">
                  <c:v>76.095110000000005</c:v>
                </c:pt>
                <c:pt idx="66">
                  <c:v>75.352800000000002</c:v>
                </c:pt>
                <c:pt idx="67">
                  <c:v>74.108859999999893</c:v>
                </c:pt>
                <c:pt idx="68">
                  <c:v>73.616900000000001</c:v>
                </c:pt>
                <c:pt idx="69">
                  <c:v>72.428599999999904</c:v>
                </c:pt>
                <c:pt idx="70">
                  <c:v>68.586699999999993</c:v>
                </c:pt>
                <c:pt idx="71">
                  <c:v>68.238</c:v>
                </c:pt>
                <c:pt idx="72">
                  <c:v>67.523700000000005</c:v>
                </c:pt>
                <c:pt idx="73">
                  <c:v>66.088139999999996</c:v>
                </c:pt>
                <c:pt idx="74">
                  <c:v>65.905199999999994</c:v>
                </c:pt>
                <c:pt idx="75">
                  <c:v>65.379949999999994</c:v>
                </c:pt>
                <c:pt idx="76">
                  <c:v>63.975140000000003</c:v>
                </c:pt>
                <c:pt idx="77">
                  <c:v>59.986089999999997</c:v>
                </c:pt>
                <c:pt idx="78">
                  <c:v>57.778599999999997</c:v>
                </c:pt>
                <c:pt idx="79">
                  <c:v>55.6601</c:v>
                </c:pt>
                <c:pt idx="80">
                  <c:v>54.021599999999999</c:v>
                </c:pt>
                <c:pt idx="81">
                  <c:v>53.555599999999998</c:v>
                </c:pt>
                <c:pt idx="82">
                  <c:v>52.692700000000002</c:v>
                </c:pt>
                <c:pt idx="83">
                  <c:v>52.473599999999998</c:v>
                </c:pt>
                <c:pt idx="84">
                  <c:v>50.578399999999903</c:v>
                </c:pt>
                <c:pt idx="85">
                  <c:v>49.447399999999902</c:v>
                </c:pt>
                <c:pt idx="86">
                  <c:v>47.596980000000002</c:v>
                </c:pt>
                <c:pt idx="87">
                  <c:v>46.374200000000002</c:v>
                </c:pt>
                <c:pt idx="88">
                  <c:v>46.228479999999998</c:v>
                </c:pt>
                <c:pt idx="89">
                  <c:v>44.14</c:v>
                </c:pt>
                <c:pt idx="90">
                  <c:v>40.959699999999998</c:v>
                </c:pt>
                <c:pt idx="91">
                  <c:v>40.004100000000001</c:v>
                </c:pt>
                <c:pt idx="92">
                  <c:v>36.943100000000001</c:v>
                </c:pt>
                <c:pt idx="93">
                  <c:v>34.118000000000002</c:v>
                </c:pt>
                <c:pt idx="94">
                  <c:v>33.443199999999997</c:v>
                </c:pt>
                <c:pt idx="95">
                  <c:v>31.424799999999902</c:v>
                </c:pt>
                <c:pt idx="96">
                  <c:v>30.934999999999899</c:v>
                </c:pt>
                <c:pt idx="97">
                  <c:v>30.380999999999901</c:v>
                </c:pt>
                <c:pt idx="98">
                  <c:v>29.832999999999899</c:v>
                </c:pt>
                <c:pt idx="99">
                  <c:v>24.76023</c:v>
                </c:pt>
                <c:pt idx="100">
                  <c:v>21.968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D2F0-47AE-9B47-E8FECBA0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489337400"/>
        <c:axId val="489337728"/>
      </c:bubbleChart>
      <c:valAx>
        <c:axId val="489337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37728"/>
        <c:crosses val="autoZero"/>
        <c:crossBetween val="midCat"/>
      </c:valAx>
      <c:valAx>
        <c:axId val="4893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3740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1</xdr:row>
      <xdr:rowOff>152400</xdr:rowOff>
    </xdr:from>
    <xdr:to>
      <xdr:col>21</xdr:col>
      <xdr:colOff>57150</xdr:colOff>
      <xdr:row>22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1B9AF9-CC5C-4993-82F5-3F9788B95C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234950</xdr:colOff>
      <xdr:row>23</xdr:row>
      <xdr:rowOff>19050</xdr:rowOff>
    </xdr:from>
    <xdr:to>
      <xdr:col>20</xdr:col>
      <xdr:colOff>304800</xdr:colOff>
      <xdr:row>52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6CE8A16-C10C-4035-BF8A-CA3AD14A30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tabSelected="1" workbookViewId="0">
      <selection activeCell="V55" sqref="V55"/>
    </sheetView>
  </sheetViews>
  <sheetFormatPr defaultRowHeight="14.5" x14ac:dyDescent="0.35"/>
  <cols>
    <col min="1" max="1" width="9.6328125" customWidth="1"/>
    <col min="2" max="2" width="5.90625" bestFit="1" customWidth="1"/>
    <col min="3" max="3" width="15.81640625" bestFit="1" customWidth="1"/>
    <col min="4" max="4" width="18.36328125" style="1" bestFit="1" customWidth="1"/>
    <col min="5" max="5" width="13.90625" bestFit="1" customWidth="1"/>
    <col min="6" max="6" width="18.7265625" style="1" bestFit="1" customWidth="1"/>
    <col min="7" max="7" width="14.26953125" bestFit="1" customWidth="1"/>
    <col min="8" max="8" width="17.36328125" bestFit="1" customWidth="1"/>
    <col min="9" max="9" width="18.26953125" bestFit="1" customWidth="1"/>
  </cols>
  <sheetData>
    <row r="1" spans="1:9" x14ac:dyDescent="0.35">
      <c r="B1" t="s">
        <v>0</v>
      </c>
      <c r="C1" t="s">
        <v>1</v>
      </c>
      <c r="D1" s="1" t="s">
        <v>2</v>
      </c>
      <c r="E1" t="s">
        <v>3</v>
      </c>
      <c r="F1" s="1" t="s">
        <v>4</v>
      </c>
      <c r="G1" t="s">
        <v>5</v>
      </c>
      <c r="H1" t="s">
        <v>106</v>
      </c>
      <c r="I1" t="s">
        <v>107</v>
      </c>
    </row>
    <row r="2" spans="1:9" x14ac:dyDescent="0.35">
      <c r="A2">
        <v>5</v>
      </c>
      <c r="B2" t="s">
        <v>11</v>
      </c>
      <c r="C2">
        <v>1887.934</v>
      </c>
      <c r="D2" s="1">
        <v>31019</v>
      </c>
      <c r="E2">
        <v>46.125999999999998</v>
      </c>
      <c r="F2" s="1">
        <v>36868</v>
      </c>
      <c r="G2">
        <v>1934.06</v>
      </c>
      <c r="H2">
        <f>F2-D2</f>
        <v>5849</v>
      </c>
      <c r="I2">
        <f>H2/365</f>
        <v>16.024657534246575</v>
      </c>
    </row>
    <row r="3" spans="1:9" x14ac:dyDescent="0.35">
      <c r="A3">
        <v>8</v>
      </c>
      <c r="B3" t="s">
        <v>14</v>
      </c>
      <c r="C3">
        <v>1131.48</v>
      </c>
      <c r="D3" s="1">
        <v>35572</v>
      </c>
      <c r="E3">
        <v>1.4</v>
      </c>
      <c r="F3" s="1">
        <v>43047</v>
      </c>
      <c r="G3">
        <v>1132.8800000000001</v>
      </c>
      <c r="H3">
        <f>F3-D3</f>
        <v>7475</v>
      </c>
      <c r="I3">
        <f>H3/365</f>
        <v>20.479452054794521</v>
      </c>
    </row>
    <row r="4" spans="1:9" x14ac:dyDescent="0.35">
      <c r="A4">
        <v>44</v>
      </c>
      <c r="B4" t="s">
        <v>50</v>
      </c>
      <c r="C4">
        <v>1008.285</v>
      </c>
      <c r="D4" s="1">
        <v>38233</v>
      </c>
      <c r="E4">
        <v>50.005000000000003</v>
      </c>
      <c r="F4" s="1">
        <v>43047</v>
      </c>
      <c r="G4">
        <v>1058.29</v>
      </c>
      <c r="H4">
        <f>F4-D4</f>
        <v>4814</v>
      </c>
      <c r="I4">
        <f>H4/365</f>
        <v>13.189041095890412</v>
      </c>
    </row>
    <row r="5" spans="1:9" x14ac:dyDescent="0.35">
      <c r="A5">
        <v>16</v>
      </c>
      <c r="B5" t="s">
        <v>22</v>
      </c>
      <c r="C5">
        <v>562.96860000000004</v>
      </c>
      <c r="D5" s="1">
        <v>27372</v>
      </c>
      <c r="E5">
        <v>5.1414</v>
      </c>
      <c r="F5" s="1">
        <v>36766</v>
      </c>
      <c r="G5">
        <v>568.11</v>
      </c>
      <c r="H5">
        <f>F5-D5</f>
        <v>9394</v>
      </c>
      <c r="I5">
        <f>H5/365</f>
        <v>25.736986301369864</v>
      </c>
    </row>
    <row r="6" spans="1:9" x14ac:dyDescent="0.35">
      <c r="A6">
        <v>43</v>
      </c>
      <c r="B6" t="s">
        <v>49</v>
      </c>
      <c r="C6">
        <v>547.29999999999995</v>
      </c>
      <c r="D6" s="1">
        <v>42016</v>
      </c>
      <c r="E6">
        <v>492.55</v>
      </c>
      <c r="F6" s="1">
        <v>43047</v>
      </c>
      <c r="G6">
        <v>1039.8499999999999</v>
      </c>
      <c r="H6">
        <f>F6-D6</f>
        <v>1031</v>
      </c>
      <c r="I6">
        <f>H6/365</f>
        <v>2.8246575342465752</v>
      </c>
    </row>
    <row r="7" spans="1:9" x14ac:dyDescent="0.35">
      <c r="A7">
        <v>12</v>
      </c>
      <c r="B7" t="s">
        <v>18</v>
      </c>
      <c r="C7">
        <v>438.10761000000002</v>
      </c>
      <c r="D7" s="1">
        <v>34684</v>
      </c>
      <c r="E7">
        <v>0.32239000000000001</v>
      </c>
      <c r="F7" s="1">
        <v>42083</v>
      </c>
      <c r="G7">
        <v>438.43</v>
      </c>
      <c r="H7">
        <f>F7-D7</f>
        <v>7399</v>
      </c>
      <c r="I7">
        <f>H7/365</f>
        <v>20.271232876712329</v>
      </c>
    </row>
    <row r="8" spans="1:9" x14ac:dyDescent="0.35">
      <c r="A8">
        <v>14</v>
      </c>
      <c r="B8" t="s">
        <v>20</v>
      </c>
      <c r="C8">
        <v>422.534999999999</v>
      </c>
      <c r="D8" s="1">
        <v>38457</v>
      </c>
      <c r="E8">
        <v>58.055</v>
      </c>
      <c r="F8" s="1">
        <v>43020</v>
      </c>
      <c r="G8">
        <v>480.59</v>
      </c>
      <c r="H8">
        <f>F8-D8</f>
        <v>4563</v>
      </c>
      <c r="I8">
        <f>H8/365</f>
        <v>12.501369863013698</v>
      </c>
    </row>
    <row r="9" spans="1:9" x14ac:dyDescent="0.35">
      <c r="A9">
        <v>19</v>
      </c>
      <c r="B9" t="s">
        <v>25</v>
      </c>
      <c r="C9">
        <v>369.87400000000002</v>
      </c>
      <c r="D9" s="1">
        <v>40234</v>
      </c>
      <c r="E9">
        <v>32.625999999999998</v>
      </c>
      <c r="F9" s="1">
        <v>42984</v>
      </c>
      <c r="G9">
        <v>402.5</v>
      </c>
      <c r="H9">
        <f>F9-D9</f>
        <v>2750</v>
      </c>
      <c r="I9">
        <f>H9/365</f>
        <v>7.5342465753424657</v>
      </c>
    </row>
    <row r="10" spans="1:9" x14ac:dyDescent="0.35">
      <c r="A10">
        <v>4</v>
      </c>
      <c r="B10" t="s">
        <v>10</v>
      </c>
      <c r="C10">
        <v>330.4144</v>
      </c>
      <c r="D10" s="1">
        <v>34022</v>
      </c>
      <c r="E10">
        <v>6.0655999999999999</v>
      </c>
      <c r="F10" s="1">
        <v>42213</v>
      </c>
      <c r="G10">
        <v>336.48</v>
      </c>
      <c r="H10">
        <f>F10-D10</f>
        <v>8191</v>
      </c>
      <c r="I10">
        <f>H10/365</f>
        <v>22.44109589041096</v>
      </c>
    </row>
    <row r="11" spans="1:9" x14ac:dyDescent="0.35">
      <c r="A11">
        <v>57</v>
      </c>
      <c r="B11" t="s">
        <v>63</v>
      </c>
      <c r="C11">
        <v>320.434699999999</v>
      </c>
      <c r="D11" s="1">
        <v>28240</v>
      </c>
      <c r="E11">
        <v>0.71530000000000005</v>
      </c>
      <c r="F11" s="1">
        <v>43020</v>
      </c>
      <c r="G11">
        <v>321.14999999999998</v>
      </c>
      <c r="H11">
        <f>F11-D11</f>
        <v>14780</v>
      </c>
      <c r="I11">
        <f>H11/365</f>
        <v>40.493150684931507</v>
      </c>
    </row>
    <row r="12" spans="1:9" x14ac:dyDescent="0.35">
      <c r="A12">
        <v>10</v>
      </c>
      <c r="B12" t="s">
        <v>16</v>
      </c>
      <c r="C12">
        <v>264.39804999999899</v>
      </c>
      <c r="D12" s="1">
        <v>27037</v>
      </c>
      <c r="E12">
        <v>0.31195000000000001</v>
      </c>
      <c r="F12" s="1">
        <v>43046</v>
      </c>
      <c r="G12">
        <v>264.70999999999998</v>
      </c>
      <c r="H12">
        <f>F12-D12</f>
        <v>16009</v>
      </c>
      <c r="I12">
        <f>H12/365</f>
        <v>43.860273972602741</v>
      </c>
    </row>
    <row r="13" spans="1:9" x14ac:dyDescent="0.35">
      <c r="A13">
        <v>64</v>
      </c>
      <c r="B13" t="s">
        <v>70</v>
      </c>
      <c r="C13">
        <v>236.2612</v>
      </c>
      <c r="D13" s="1">
        <v>25756</v>
      </c>
      <c r="E13">
        <v>1.4188000000000001</v>
      </c>
      <c r="F13" s="1">
        <v>43033</v>
      </c>
      <c r="G13">
        <v>237.68</v>
      </c>
      <c r="H13">
        <f>F13-D13</f>
        <v>17277</v>
      </c>
      <c r="I13">
        <f>H13/365</f>
        <v>47.334246575342469</v>
      </c>
    </row>
    <row r="14" spans="1:9" x14ac:dyDescent="0.35">
      <c r="A14">
        <v>36</v>
      </c>
      <c r="B14" t="s">
        <v>42</v>
      </c>
      <c r="C14">
        <v>228.08750000000001</v>
      </c>
      <c r="D14" s="1">
        <v>29347</v>
      </c>
      <c r="E14">
        <v>2.3824999999999998</v>
      </c>
      <c r="F14" s="1">
        <v>43035</v>
      </c>
      <c r="G14">
        <v>230.47</v>
      </c>
      <c r="H14">
        <f>F14-D14</f>
        <v>13688</v>
      </c>
      <c r="I14">
        <f>H14/365</f>
        <v>37.5013698630137</v>
      </c>
    </row>
    <row r="15" spans="1:9" x14ac:dyDescent="0.35">
      <c r="A15">
        <v>72</v>
      </c>
      <c r="B15" t="s">
        <v>78</v>
      </c>
      <c r="C15">
        <v>214.87809999999999</v>
      </c>
      <c r="D15" s="1">
        <v>36276</v>
      </c>
      <c r="E15">
        <v>1.2619</v>
      </c>
      <c r="F15" s="1">
        <v>43049</v>
      </c>
      <c r="G15">
        <v>216.14</v>
      </c>
      <c r="H15">
        <f>F15-D15</f>
        <v>6773</v>
      </c>
      <c r="I15">
        <f>H15/365</f>
        <v>18.556164383561644</v>
      </c>
    </row>
    <row r="16" spans="1:9" x14ac:dyDescent="0.35">
      <c r="A16">
        <v>39</v>
      </c>
      <c r="B16" t="s">
        <v>45</v>
      </c>
      <c r="C16">
        <v>213.56808000000001</v>
      </c>
      <c r="D16" s="1">
        <v>28542</v>
      </c>
      <c r="E16">
        <v>0.29191999999999901</v>
      </c>
      <c r="F16" s="1">
        <v>43028</v>
      </c>
      <c r="G16">
        <v>213.86</v>
      </c>
      <c r="H16">
        <f>F16-D16</f>
        <v>14486</v>
      </c>
      <c r="I16">
        <f>H16/365</f>
        <v>39.68767123287671</v>
      </c>
    </row>
    <row r="17" spans="1:9" x14ac:dyDescent="0.35">
      <c r="A17">
        <v>89</v>
      </c>
      <c r="B17" t="s">
        <v>95</v>
      </c>
      <c r="C17">
        <v>212.60874000000001</v>
      </c>
      <c r="D17" s="1">
        <v>32958</v>
      </c>
      <c r="E17">
        <v>0.26125999999999999</v>
      </c>
      <c r="F17" s="1">
        <v>43042</v>
      </c>
      <c r="G17">
        <v>212.87</v>
      </c>
      <c r="H17">
        <f>F17-D17</f>
        <v>10084</v>
      </c>
      <c r="I17">
        <f>H17/365</f>
        <v>27.627397260273973</v>
      </c>
    </row>
    <row r="18" spans="1:9" x14ac:dyDescent="0.35">
      <c r="A18">
        <v>85</v>
      </c>
      <c r="B18" t="s">
        <v>91</v>
      </c>
      <c r="C18">
        <v>207.5797</v>
      </c>
      <c r="D18" s="1">
        <v>34320</v>
      </c>
      <c r="E18">
        <v>9.1702999999999992</v>
      </c>
      <c r="F18" s="1">
        <v>42583</v>
      </c>
      <c r="G18">
        <v>216.75</v>
      </c>
      <c r="H18">
        <f>F18-D18</f>
        <v>8263</v>
      </c>
      <c r="I18">
        <f>H18/365</f>
        <v>22.638356164383563</v>
      </c>
    </row>
    <row r="19" spans="1:9" x14ac:dyDescent="0.35">
      <c r="A19">
        <v>45</v>
      </c>
      <c r="B19" t="s">
        <v>51</v>
      </c>
      <c r="C19">
        <v>203.751</v>
      </c>
      <c r="D19" s="1">
        <v>39772</v>
      </c>
      <c r="E19">
        <v>47.428999999999903</v>
      </c>
      <c r="F19" s="1">
        <v>42797</v>
      </c>
      <c r="G19">
        <v>251.18</v>
      </c>
      <c r="H19">
        <f>F19-D19</f>
        <v>3025</v>
      </c>
      <c r="I19">
        <f>H19/365</f>
        <v>8.287671232876713</v>
      </c>
    </row>
    <row r="20" spans="1:9" x14ac:dyDescent="0.35">
      <c r="A20">
        <v>70</v>
      </c>
      <c r="B20" t="s">
        <v>76</v>
      </c>
      <c r="C20">
        <v>201.39</v>
      </c>
      <c r="D20" s="1">
        <v>38435</v>
      </c>
      <c r="E20">
        <v>1.29</v>
      </c>
      <c r="F20" s="1">
        <v>43024</v>
      </c>
      <c r="G20">
        <v>202.68</v>
      </c>
      <c r="H20">
        <f>F20-D20</f>
        <v>4589</v>
      </c>
      <c r="I20">
        <f>H20/365</f>
        <v>12.572602739726028</v>
      </c>
    </row>
    <row r="21" spans="1:9" x14ac:dyDescent="0.35">
      <c r="A21">
        <v>7</v>
      </c>
      <c r="B21" t="s">
        <v>13</v>
      </c>
      <c r="C21">
        <v>190.92984999999999</v>
      </c>
      <c r="D21" s="1">
        <v>31002</v>
      </c>
      <c r="E21">
        <v>7.0150000000000004E-2</v>
      </c>
      <c r="F21" s="1">
        <v>42990</v>
      </c>
      <c r="G21">
        <v>191</v>
      </c>
      <c r="H21">
        <f>F21-D21</f>
        <v>11988</v>
      </c>
      <c r="I21">
        <f>H21/365</f>
        <v>32.843835616438355</v>
      </c>
    </row>
    <row r="22" spans="1:9" x14ac:dyDescent="0.35">
      <c r="A22">
        <v>81</v>
      </c>
      <c r="B22" t="s">
        <v>87</v>
      </c>
      <c r="C22">
        <v>183.2424</v>
      </c>
      <c r="D22" s="1">
        <v>30026</v>
      </c>
      <c r="E22">
        <v>5.9476000000000004</v>
      </c>
      <c r="F22" s="1">
        <v>43033</v>
      </c>
      <c r="G22">
        <v>189.19</v>
      </c>
      <c r="H22">
        <f>F22-D22</f>
        <v>13007</v>
      </c>
      <c r="I22">
        <f>H22/365</f>
        <v>35.635616438356166</v>
      </c>
    </row>
    <row r="23" spans="1:9" x14ac:dyDescent="0.35">
      <c r="A23">
        <v>49</v>
      </c>
      <c r="B23" t="s">
        <v>55</v>
      </c>
      <c r="C23">
        <v>182.9699</v>
      </c>
      <c r="D23" s="1">
        <v>22811</v>
      </c>
      <c r="E23">
        <v>3.3900999999999999</v>
      </c>
      <c r="F23" s="1">
        <v>41347</v>
      </c>
      <c r="G23">
        <v>186.36</v>
      </c>
      <c r="H23">
        <f>F23-D23</f>
        <v>18536</v>
      </c>
      <c r="I23">
        <f>H23/365</f>
        <v>50.783561643835618</v>
      </c>
    </row>
    <row r="24" spans="1:9" x14ac:dyDescent="0.35">
      <c r="A24">
        <v>24</v>
      </c>
      <c r="B24" t="s">
        <v>30</v>
      </c>
      <c r="C24">
        <v>176.73769999999999</v>
      </c>
      <c r="D24" s="1">
        <v>32115</v>
      </c>
      <c r="E24">
        <v>4.8822999999999999</v>
      </c>
      <c r="F24" s="1">
        <v>42893</v>
      </c>
      <c r="G24">
        <v>181.62</v>
      </c>
      <c r="H24">
        <f>F24-D24</f>
        <v>10778</v>
      </c>
      <c r="I24">
        <f>H24/365</f>
        <v>29.528767123287672</v>
      </c>
    </row>
    <row r="25" spans="1:9" x14ac:dyDescent="0.35">
      <c r="A25">
        <v>0</v>
      </c>
      <c r="B25" t="s">
        <v>6</v>
      </c>
      <c r="C25">
        <v>175.37949</v>
      </c>
      <c r="D25" s="1">
        <v>31274</v>
      </c>
      <c r="E25">
        <v>0.23050999999999999</v>
      </c>
      <c r="F25" s="1">
        <v>43047</v>
      </c>
      <c r="G25">
        <v>175.61</v>
      </c>
      <c r="H25">
        <f>F25-D25</f>
        <v>11773</v>
      </c>
      <c r="I25">
        <f>H25/365</f>
        <v>32.254794520547946</v>
      </c>
    </row>
    <row r="26" spans="1:9" x14ac:dyDescent="0.35">
      <c r="A26">
        <v>60</v>
      </c>
      <c r="B26" t="s">
        <v>66</v>
      </c>
      <c r="C26">
        <v>170.58378999999999</v>
      </c>
      <c r="D26" s="1">
        <v>25713</v>
      </c>
      <c r="E26">
        <v>0.18620999999999999</v>
      </c>
      <c r="F26" s="1">
        <v>43046</v>
      </c>
      <c r="G26">
        <v>170.77</v>
      </c>
      <c r="H26">
        <f>F26-D26</f>
        <v>17333</v>
      </c>
      <c r="I26">
        <f>H26/365</f>
        <v>47.487671232876714</v>
      </c>
    </row>
    <row r="27" spans="1:9" x14ac:dyDescent="0.35">
      <c r="A27">
        <v>47</v>
      </c>
      <c r="B27" t="s">
        <v>53</v>
      </c>
      <c r="C27">
        <v>167.62414999999999</v>
      </c>
      <c r="D27" s="1">
        <v>29851</v>
      </c>
      <c r="E27">
        <v>2.5850000000000001E-2</v>
      </c>
      <c r="F27" s="1">
        <v>43034</v>
      </c>
      <c r="G27">
        <v>167.65</v>
      </c>
      <c r="H27">
        <f>F27-D27</f>
        <v>13183</v>
      </c>
      <c r="I27">
        <f>H27/365</f>
        <v>36.11780821917808</v>
      </c>
    </row>
    <row r="28" spans="1:9" x14ac:dyDescent="0.35">
      <c r="A28">
        <v>35</v>
      </c>
      <c r="B28" t="s">
        <v>41</v>
      </c>
      <c r="C28">
        <v>164.93</v>
      </c>
      <c r="D28" s="1">
        <v>41156</v>
      </c>
      <c r="E28">
        <v>17.73</v>
      </c>
      <c r="F28" s="1">
        <v>43040</v>
      </c>
      <c r="G28">
        <v>182.66</v>
      </c>
      <c r="H28">
        <f>F28-D28</f>
        <v>1884</v>
      </c>
      <c r="I28">
        <f>H28/365</f>
        <v>5.161643835616438</v>
      </c>
    </row>
    <row r="29" spans="1:9" x14ac:dyDescent="0.35">
      <c r="A29">
        <v>59</v>
      </c>
      <c r="B29" t="s">
        <v>65</v>
      </c>
      <c r="C29">
        <v>146.32759999999999</v>
      </c>
      <c r="D29" s="1">
        <v>38861</v>
      </c>
      <c r="E29">
        <v>3.7624</v>
      </c>
      <c r="F29" s="1">
        <v>43045</v>
      </c>
      <c r="G29">
        <v>150.09</v>
      </c>
      <c r="H29">
        <f>F29-D29</f>
        <v>4184</v>
      </c>
      <c r="I29">
        <f>H29/365</f>
        <v>11.463013698630137</v>
      </c>
    </row>
    <row r="30" spans="1:9" x14ac:dyDescent="0.35">
      <c r="A30">
        <v>48</v>
      </c>
      <c r="B30" t="s">
        <v>54</v>
      </c>
      <c r="C30">
        <v>146.2473</v>
      </c>
      <c r="D30" s="1">
        <v>25713</v>
      </c>
      <c r="E30">
        <v>0.72270000000000001</v>
      </c>
      <c r="F30" s="1">
        <v>43046</v>
      </c>
      <c r="G30">
        <v>146.97</v>
      </c>
      <c r="H30">
        <f>F30-D30</f>
        <v>17333</v>
      </c>
      <c r="I30">
        <f>H30/365</f>
        <v>47.487671232876714</v>
      </c>
    </row>
    <row r="31" spans="1:9" x14ac:dyDescent="0.35">
      <c r="A31">
        <v>51</v>
      </c>
      <c r="B31" t="s">
        <v>57</v>
      </c>
      <c r="C31">
        <v>143.23749000000001</v>
      </c>
      <c r="D31" s="1">
        <v>25714</v>
      </c>
      <c r="E31">
        <v>0.38251000000000002</v>
      </c>
      <c r="F31" s="1">
        <v>43031</v>
      </c>
      <c r="G31">
        <v>143.62</v>
      </c>
      <c r="H31">
        <f>F31-D31</f>
        <v>17317</v>
      </c>
      <c r="I31">
        <f>H31/365</f>
        <v>47.443835616438356</v>
      </c>
    </row>
    <row r="32" spans="1:9" x14ac:dyDescent="0.35">
      <c r="A32">
        <v>18</v>
      </c>
      <c r="B32" t="s">
        <v>24</v>
      </c>
      <c r="C32">
        <v>139.67500000000001</v>
      </c>
      <c r="D32" s="1">
        <v>38411</v>
      </c>
      <c r="E32">
        <v>6.8449999999999998</v>
      </c>
      <c r="F32" s="1">
        <v>43012</v>
      </c>
      <c r="G32">
        <v>146.52000000000001</v>
      </c>
      <c r="H32">
        <f>F32-D32</f>
        <v>4601</v>
      </c>
      <c r="I32">
        <f>H32/365</f>
        <v>12.605479452054794</v>
      </c>
    </row>
    <row r="33" spans="1:9" x14ac:dyDescent="0.35">
      <c r="A33">
        <v>17</v>
      </c>
      <c r="B33" t="s">
        <v>23</v>
      </c>
      <c r="C33">
        <v>137.43539999999999</v>
      </c>
      <c r="D33" s="1">
        <v>25763</v>
      </c>
      <c r="E33">
        <v>1.3746</v>
      </c>
      <c r="F33" s="1">
        <v>43046</v>
      </c>
      <c r="G33">
        <v>138.81</v>
      </c>
      <c r="H33">
        <f>F33-D33</f>
        <v>17283</v>
      </c>
      <c r="I33">
        <f>H33/365</f>
        <v>47.350684931506848</v>
      </c>
    </row>
    <row r="34" spans="1:9" x14ac:dyDescent="0.35">
      <c r="A34">
        <v>3</v>
      </c>
      <c r="B34" t="s">
        <v>9</v>
      </c>
      <c r="C34">
        <v>126.653999999999</v>
      </c>
      <c r="D34" s="1">
        <v>38469</v>
      </c>
      <c r="E34">
        <v>18.236000000000001</v>
      </c>
      <c r="F34" s="1">
        <v>43047</v>
      </c>
      <c r="G34">
        <v>144.88999999999999</v>
      </c>
      <c r="H34">
        <f>F34-D34</f>
        <v>4578</v>
      </c>
      <c r="I34">
        <f>H34/365</f>
        <v>12.542465753424658</v>
      </c>
    </row>
    <row r="35" spans="1:9" x14ac:dyDescent="0.35">
      <c r="A35">
        <v>69</v>
      </c>
      <c r="B35" t="s">
        <v>75</v>
      </c>
      <c r="C35">
        <v>126.13</v>
      </c>
      <c r="D35" s="1">
        <v>39731</v>
      </c>
      <c r="E35">
        <v>29.71</v>
      </c>
      <c r="F35" s="1">
        <v>43035</v>
      </c>
      <c r="G35">
        <v>155.84</v>
      </c>
      <c r="H35">
        <f>F35-D35</f>
        <v>3304</v>
      </c>
      <c r="I35">
        <f>H35/365</f>
        <v>9.0520547945205472</v>
      </c>
    </row>
    <row r="36" spans="1:9" x14ac:dyDescent="0.35">
      <c r="A36">
        <v>93</v>
      </c>
      <c r="B36" t="s">
        <v>99</v>
      </c>
      <c r="C36">
        <v>122.75447</v>
      </c>
      <c r="D36" s="1">
        <v>25755</v>
      </c>
      <c r="E36">
        <v>0.20552999999999999</v>
      </c>
      <c r="F36" s="1">
        <v>42928</v>
      </c>
      <c r="G36">
        <v>122.96</v>
      </c>
      <c r="H36">
        <f>F36-D36</f>
        <v>17173</v>
      </c>
      <c r="I36">
        <f>H36/365</f>
        <v>47.049315068493151</v>
      </c>
    </row>
    <row r="37" spans="1:9" x14ac:dyDescent="0.35">
      <c r="A37">
        <v>27</v>
      </c>
      <c r="B37" t="s">
        <v>33</v>
      </c>
      <c r="C37">
        <v>119.6467</v>
      </c>
      <c r="D37" s="1">
        <v>25756</v>
      </c>
      <c r="E37">
        <v>0.57330000000000003</v>
      </c>
      <c r="F37" s="1">
        <v>43025</v>
      </c>
      <c r="G37">
        <v>120.22</v>
      </c>
      <c r="H37">
        <f>F37-D37</f>
        <v>17269</v>
      </c>
      <c r="I37">
        <f>H37/365</f>
        <v>47.31232876712329</v>
      </c>
    </row>
    <row r="38" spans="1:9" x14ac:dyDescent="0.35">
      <c r="A38">
        <v>29</v>
      </c>
      <c r="B38" t="s">
        <v>35</v>
      </c>
      <c r="C38">
        <v>117.95702</v>
      </c>
      <c r="D38" s="1">
        <v>27379</v>
      </c>
      <c r="E38">
        <v>0.28298000000000001</v>
      </c>
      <c r="F38" s="1">
        <v>42220</v>
      </c>
      <c r="G38">
        <v>118.24</v>
      </c>
      <c r="H38">
        <f>F38-D38</f>
        <v>14841</v>
      </c>
      <c r="I38">
        <f>H38/365</f>
        <v>40.660273972602738</v>
      </c>
    </row>
    <row r="39" spans="1:9" x14ac:dyDescent="0.35">
      <c r="A39">
        <v>75</v>
      </c>
      <c r="B39" t="s">
        <v>81</v>
      </c>
      <c r="C39">
        <v>117.3909</v>
      </c>
      <c r="D39" s="1">
        <v>29306</v>
      </c>
      <c r="E39">
        <v>0.87909999999999999</v>
      </c>
      <c r="F39" s="1">
        <v>42963</v>
      </c>
      <c r="G39">
        <v>118.27</v>
      </c>
      <c r="H39">
        <f>F39-D39</f>
        <v>13657</v>
      </c>
      <c r="I39">
        <f>H39/365</f>
        <v>37.416438356164385</v>
      </c>
    </row>
    <row r="40" spans="1:9" x14ac:dyDescent="0.35">
      <c r="A40">
        <v>41</v>
      </c>
      <c r="B40" t="s">
        <v>47</v>
      </c>
      <c r="C40">
        <v>115.702109999999</v>
      </c>
      <c r="D40" s="1">
        <v>34491</v>
      </c>
      <c r="E40">
        <v>0.20788999999999999</v>
      </c>
      <c r="F40" s="1">
        <v>42178</v>
      </c>
      <c r="G40">
        <v>115.91</v>
      </c>
      <c r="H40">
        <f>F40-D40</f>
        <v>7687</v>
      </c>
      <c r="I40">
        <f>H40/365</f>
        <v>21.06027397260274</v>
      </c>
    </row>
    <row r="41" spans="1:9" x14ac:dyDescent="0.35">
      <c r="A41">
        <v>90</v>
      </c>
      <c r="B41" t="s">
        <v>96</v>
      </c>
      <c r="C41">
        <v>115.2146</v>
      </c>
      <c r="D41" s="1">
        <v>30176</v>
      </c>
      <c r="E41">
        <v>3.1753999999999998</v>
      </c>
      <c r="F41" s="1">
        <v>43041</v>
      </c>
      <c r="G41">
        <v>118.39</v>
      </c>
      <c r="H41">
        <f>F41-D41</f>
        <v>12865</v>
      </c>
      <c r="I41">
        <f>H41/365</f>
        <v>35.246575342465754</v>
      </c>
    </row>
    <row r="42" spans="1:9" x14ac:dyDescent="0.35">
      <c r="A42">
        <v>26</v>
      </c>
      <c r="B42" t="s">
        <v>32</v>
      </c>
      <c r="C42">
        <v>105.9893</v>
      </c>
      <c r="D42" s="1">
        <v>31049</v>
      </c>
      <c r="E42">
        <v>2.2707000000000002</v>
      </c>
      <c r="F42" s="1">
        <v>42214</v>
      </c>
      <c r="G42">
        <v>108.26</v>
      </c>
      <c r="H42">
        <f>F42-D42</f>
        <v>11165</v>
      </c>
      <c r="I42">
        <f>H42/365</f>
        <v>30.589041095890412</v>
      </c>
    </row>
    <row r="43" spans="1:9" x14ac:dyDescent="0.35">
      <c r="A43">
        <v>83</v>
      </c>
      <c r="B43" t="s">
        <v>89</v>
      </c>
      <c r="C43">
        <v>104.9688</v>
      </c>
      <c r="D43" s="1">
        <v>31625</v>
      </c>
      <c r="E43">
        <v>3.9211999999999998</v>
      </c>
      <c r="F43" s="1">
        <v>41820</v>
      </c>
      <c r="G43">
        <v>108.89</v>
      </c>
      <c r="H43">
        <f>F43-D43</f>
        <v>10195</v>
      </c>
      <c r="I43">
        <f>H43/365</f>
        <v>27.931506849315067</v>
      </c>
    </row>
    <row r="44" spans="1:9" x14ac:dyDescent="0.35">
      <c r="A44">
        <v>94</v>
      </c>
      <c r="B44" t="s">
        <v>100</v>
      </c>
      <c r="C44">
        <v>102.392</v>
      </c>
      <c r="D44" s="1">
        <v>39833</v>
      </c>
      <c r="E44">
        <v>10.077999999999999</v>
      </c>
      <c r="F44" s="1">
        <v>43047</v>
      </c>
      <c r="G44">
        <v>112.47</v>
      </c>
      <c r="H44">
        <f>F44-D44</f>
        <v>3214</v>
      </c>
      <c r="I44">
        <f>H44/365</f>
        <v>8.8054794520547937</v>
      </c>
    </row>
    <row r="45" spans="1:9" x14ac:dyDescent="0.35">
      <c r="A45">
        <v>28</v>
      </c>
      <c r="B45" t="s">
        <v>34</v>
      </c>
      <c r="C45">
        <v>101.101</v>
      </c>
      <c r="D45" s="1">
        <v>32115</v>
      </c>
      <c r="E45">
        <v>0.38900000000000001</v>
      </c>
      <c r="F45" s="1">
        <v>42552</v>
      </c>
      <c r="G45">
        <v>101.49</v>
      </c>
      <c r="H45">
        <f>F45-D45</f>
        <v>10437</v>
      </c>
      <c r="I45">
        <f>H45/365</f>
        <v>28.594520547945205</v>
      </c>
    </row>
    <row r="46" spans="1:9" x14ac:dyDescent="0.35">
      <c r="A46">
        <v>52</v>
      </c>
      <c r="B46" t="s">
        <v>58</v>
      </c>
      <c r="C46">
        <v>100.3946</v>
      </c>
      <c r="D46" s="1">
        <v>27740</v>
      </c>
      <c r="E46">
        <v>1.3754</v>
      </c>
      <c r="F46" s="1">
        <v>43035</v>
      </c>
      <c r="G46">
        <v>101.77</v>
      </c>
      <c r="H46">
        <f>F46-D46</f>
        <v>15295</v>
      </c>
      <c r="I46">
        <f>H46/365</f>
        <v>41.904109589041099</v>
      </c>
    </row>
    <row r="47" spans="1:9" x14ac:dyDescent="0.35">
      <c r="A47">
        <v>88</v>
      </c>
      <c r="B47" t="s">
        <v>94</v>
      </c>
      <c r="C47">
        <v>97.587100000000007</v>
      </c>
      <c r="D47" s="1">
        <v>29964</v>
      </c>
      <c r="E47">
        <v>0.95289999999999997</v>
      </c>
      <c r="F47" s="1">
        <v>43045</v>
      </c>
      <c r="G47">
        <v>98.54</v>
      </c>
      <c r="H47">
        <f>F47-D47</f>
        <v>13081</v>
      </c>
      <c r="I47">
        <f>H47/365</f>
        <v>35.838356164383562</v>
      </c>
    </row>
    <row r="48" spans="1:9" x14ac:dyDescent="0.35">
      <c r="A48">
        <v>78</v>
      </c>
      <c r="B48" t="s">
        <v>84</v>
      </c>
      <c r="C48">
        <v>96.367999999999995</v>
      </c>
      <c r="D48" s="1">
        <v>39875</v>
      </c>
      <c r="E48">
        <v>24.331999999999901</v>
      </c>
      <c r="F48" s="1">
        <v>42905</v>
      </c>
      <c r="G48">
        <v>120.7</v>
      </c>
      <c r="H48">
        <f>F48-D48</f>
        <v>3030</v>
      </c>
      <c r="I48">
        <f>H48/365</f>
        <v>8.3013698630136989</v>
      </c>
    </row>
    <row r="49" spans="1:9" x14ac:dyDescent="0.35">
      <c r="A49">
        <v>9</v>
      </c>
      <c r="B49" t="s">
        <v>15</v>
      </c>
      <c r="C49">
        <v>95.940190000000001</v>
      </c>
      <c r="D49" s="1">
        <v>27305</v>
      </c>
      <c r="E49">
        <v>0.48981000000000002</v>
      </c>
      <c r="F49" s="1">
        <v>43042</v>
      </c>
      <c r="G49">
        <v>96.43</v>
      </c>
      <c r="H49">
        <f>F49-D49</f>
        <v>15737</v>
      </c>
      <c r="I49">
        <f>H49/365</f>
        <v>43.115068493150687</v>
      </c>
    </row>
    <row r="50" spans="1:9" x14ac:dyDescent="0.35">
      <c r="A50">
        <v>77</v>
      </c>
      <c r="B50" t="s">
        <v>83</v>
      </c>
      <c r="C50">
        <v>92.689499999999995</v>
      </c>
      <c r="D50" s="1">
        <v>25714</v>
      </c>
      <c r="E50">
        <v>1.0085</v>
      </c>
      <c r="F50" s="1">
        <v>42998</v>
      </c>
      <c r="G50">
        <v>93.697999999999993</v>
      </c>
      <c r="H50">
        <f>F50-D50</f>
        <v>17284</v>
      </c>
      <c r="I50">
        <f>H50/365</f>
        <v>47.353424657534248</v>
      </c>
    </row>
    <row r="51" spans="1:9" x14ac:dyDescent="0.35">
      <c r="A51">
        <v>96</v>
      </c>
      <c r="B51" t="s">
        <v>102</v>
      </c>
      <c r="C51">
        <v>91.319100000000006</v>
      </c>
      <c r="D51" s="1">
        <v>31327</v>
      </c>
      <c r="E51">
        <v>0.97789999999999999</v>
      </c>
      <c r="F51" s="1">
        <v>42221</v>
      </c>
      <c r="G51">
        <v>92.296999999999997</v>
      </c>
      <c r="H51">
        <f>F51-D51</f>
        <v>10894</v>
      </c>
      <c r="I51">
        <f>H51/365</f>
        <v>29.846575342465755</v>
      </c>
    </row>
    <row r="52" spans="1:9" x14ac:dyDescent="0.35">
      <c r="A52">
        <v>74</v>
      </c>
      <c r="B52" t="s">
        <v>80</v>
      </c>
      <c r="C52">
        <v>91.189899999999994</v>
      </c>
      <c r="D52" s="1">
        <v>30172</v>
      </c>
      <c r="E52">
        <v>1.8321000000000001</v>
      </c>
      <c r="F52" s="1">
        <v>40665</v>
      </c>
      <c r="G52">
        <v>93.022000000000006</v>
      </c>
      <c r="H52">
        <f>F52-D52</f>
        <v>10493</v>
      </c>
      <c r="I52">
        <f>H52/365</f>
        <v>28.747945205479454</v>
      </c>
    </row>
    <row r="53" spans="1:9" x14ac:dyDescent="0.35">
      <c r="A53">
        <v>98</v>
      </c>
      <c r="B53" t="s">
        <v>104</v>
      </c>
      <c r="C53">
        <v>90.911789999999996</v>
      </c>
      <c r="D53" s="1">
        <v>27369</v>
      </c>
      <c r="E53">
        <v>8.2100000000000003E-3</v>
      </c>
      <c r="F53" s="1">
        <v>43049</v>
      </c>
      <c r="G53">
        <v>90.92</v>
      </c>
      <c r="H53">
        <f>F53-D53</f>
        <v>15680</v>
      </c>
      <c r="I53">
        <f>H53/365</f>
        <v>42.958904109589042</v>
      </c>
    </row>
    <row r="54" spans="1:9" x14ac:dyDescent="0.35">
      <c r="A54">
        <v>22</v>
      </c>
      <c r="B54" t="s">
        <v>28</v>
      </c>
      <c r="C54">
        <v>90.720600000000005</v>
      </c>
      <c r="D54" s="1">
        <v>34677</v>
      </c>
      <c r="E54">
        <v>4.0503999999999998</v>
      </c>
      <c r="F54" s="1">
        <v>42795</v>
      </c>
      <c r="G54">
        <v>94.771000000000001</v>
      </c>
      <c r="H54">
        <f>F54-D54</f>
        <v>8118</v>
      </c>
      <c r="I54">
        <f>H54/365</f>
        <v>22.241095890410961</v>
      </c>
    </row>
    <row r="55" spans="1:9" x14ac:dyDescent="0.35">
      <c r="A55">
        <v>99</v>
      </c>
      <c r="B55" t="s">
        <v>105</v>
      </c>
      <c r="C55">
        <v>90.677899999999994</v>
      </c>
      <c r="D55" s="1">
        <v>25616</v>
      </c>
      <c r="E55">
        <v>1.2141</v>
      </c>
      <c r="F55" s="1">
        <v>41813</v>
      </c>
      <c r="G55">
        <v>91.891999999999996</v>
      </c>
      <c r="H55">
        <f>F55-D55</f>
        <v>16197</v>
      </c>
      <c r="I55">
        <f>H55/365</f>
        <v>44.375342465753427</v>
      </c>
    </row>
    <row r="56" spans="1:9" x14ac:dyDescent="0.35">
      <c r="A56">
        <v>6</v>
      </c>
      <c r="B56" t="s">
        <v>12</v>
      </c>
      <c r="C56">
        <v>90.259</v>
      </c>
      <c r="D56" s="1">
        <v>34445</v>
      </c>
      <c r="E56">
        <v>8.9209999999999994</v>
      </c>
      <c r="F56" s="1">
        <v>43046</v>
      </c>
      <c r="G56">
        <v>99.18</v>
      </c>
      <c r="H56">
        <f>F56-D56</f>
        <v>8601</v>
      </c>
      <c r="I56">
        <f>H56/365</f>
        <v>23.564383561643837</v>
      </c>
    </row>
    <row r="57" spans="1:9" x14ac:dyDescent="0.35">
      <c r="A57">
        <v>91</v>
      </c>
      <c r="B57" t="s">
        <v>97</v>
      </c>
      <c r="C57">
        <v>88.415999999999997</v>
      </c>
      <c r="D57" s="1">
        <v>39881</v>
      </c>
      <c r="E57">
        <v>31.484000000000002</v>
      </c>
      <c r="F57" s="1">
        <v>43010</v>
      </c>
      <c r="G57">
        <v>119.9</v>
      </c>
      <c r="H57">
        <f>F57-D57</f>
        <v>3129</v>
      </c>
      <c r="I57">
        <f>H57/365</f>
        <v>8.5726027397260278</v>
      </c>
    </row>
    <row r="58" spans="1:9" x14ac:dyDescent="0.35">
      <c r="A58">
        <v>62</v>
      </c>
      <c r="B58" t="s">
        <v>68</v>
      </c>
      <c r="C58">
        <v>88.088310000000007</v>
      </c>
      <c r="D58" s="1">
        <v>30862</v>
      </c>
      <c r="E58">
        <v>0.28669</v>
      </c>
      <c r="F58" s="1">
        <v>42921</v>
      </c>
      <c r="G58">
        <v>88.375</v>
      </c>
      <c r="H58">
        <f>F58-D58</f>
        <v>12059</v>
      </c>
      <c r="I58">
        <f>H58/365</f>
        <v>33.038356164383565</v>
      </c>
    </row>
    <row r="59" spans="1:9" x14ac:dyDescent="0.35">
      <c r="A59">
        <v>30</v>
      </c>
      <c r="B59" t="s">
        <v>36</v>
      </c>
      <c r="C59">
        <v>86.755899999999997</v>
      </c>
      <c r="D59" s="1">
        <v>30476</v>
      </c>
      <c r="E59">
        <v>2.8740999999999999</v>
      </c>
      <c r="F59" s="1">
        <v>43048</v>
      </c>
      <c r="G59">
        <v>89.63</v>
      </c>
      <c r="H59">
        <f>F59-D59</f>
        <v>12572</v>
      </c>
      <c r="I59">
        <f>H59/365</f>
        <v>34.443835616438356</v>
      </c>
    </row>
    <row r="60" spans="1:9" x14ac:dyDescent="0.35">
      <c r="A60">
        <v>56</v>
      </c>
      <c r="B60" t="s">
        <v>62</v>
      </c>
      <c r="C60">
        <v>85.395700000000005</v>
      </c>
      <c r="D60" s="1">
        <v>30169</v>
      </c>
      <c r="E60">
        <v>2.2543000000000002</v>
      </c>
      <c r="F60" s="1">
        <v>43013</v>
      </c>
      <c r="G60">
        <v>87.65</v>
      </c>
      <c r="H60">
        <f>F60-D60</f>
        <v>12844</v>
      </c>
      <c r="I60">
        <f>H60/365</f>
        <v>35.18904109589041</v>
      </c>
    </row>
    <row r="61" spans="1:9" x14ac:dyDescent="0.35">
      <c r="A61">
        <v>58</v>
      </c>
      <c r="B61" t="s">
        <v>64</v>
      </c>
      <c r="C61">
        <v>84.730029999999999</v>
      </c>
      <c r="D61" s="1">
        <v>32114</v>
      </c>
      <c r="E61">
        <v>0.41597000000000001</v>
      </c>
      <c r="F61" s="1">
        <v>42865</v>
      </c>
      <c r="G61">
        <v>85.146000000000001</v>
      </c>
      <c r="H61">
        <f>F61-D61</f>
        <v>10751</v>
      </c>
      <c r="I61">
        <f>H61/365</f>
        <v>29.454794520547946</v>
      </c>
    </row>
    <row r="62" spans="1:9" x14ac:dyDescent="0.35">
      <c r="A62">
        <v>68</v>
      </c>
      <c r="B62" t="s">
        <v>74</v>
      </c>
      <c r="C62">
        <v>84.492800000000003</v>
      </c>
      <c r="D62" s="1">
        <v>31492</v>
      </c>
      <c r="E62">
        <v>6.7199999999999996E-2</v>
      </c>
      <c r="F62" s="1">
        <v>43047</v>
      </c>
      <c r="G62">
        <v>84.56</v>
      </c>
      <c r="H62">
        <f>F62-D62</f>
        <v>11555</v>
      </c>
      <c r="I62">
        <f>H62/365</f>
        <v>31.657534246575342</v>
      </c>
    </row>
    <row r="63" spans="1:9" x14ac:dyDescent="0.35">
      <c r="A63">
        <v>87</v>
      </c>
      <c r="B63" t="s">
        <v>93</v>
      </c>
      <c r="C63">
        <v>78.158000000000001</v>
      </c>
      <c r="D63" s="1">
        <v>30825</v>
      </c>
      <c r="E63">
        <v>1.3129999999999999</v>
      </c>
      <c r="F63" s="1">
        <v>42479</v>
      </c>
      <c r="G63">
        <v>79.471000000000004</v>
      </c>
      <c r="H63">
        <f>F63-D63</f>
        <v>11654</v>
      </c>
      <c r="I63">
        <f>H63/365</f>
        <v>31.92876712328767</v>
      </c>
    </row>
    <row r="64" spans="1:9" x14ac:dyDescent="0.35">
      <c r="A64">
        <v>23</v>
      </c>
      <c r="B64" t="s">
        <v>29</v>
      </c>
      <c r="C64">
        <v>76.998800000000003</v>
      </c>
      <c r="D64" s="1">
        <v>30181</v>
      </c>
      <c r="E64">
        <v>0.99819999999999998</v>
      </c>
      <c r="F64" s="1">
        <v>41843</v>
      </c>
      <c r="G64">
        <v>77.997</v>
      </c>
      <c r="H64">
        <f>F64-D64</f>
        <v>11662</v>
      </c>
      <c r="I64">
        <f>H64/365</f>
        <v>31.950684931506849</v>
      </c>
    </row>
    <row r="65" spans="1:9" x14ac:dyDescent="0.35">
      <c r="A65">
        <v>65</v>
      </c>
      <c r="B65" t="s">
        <v>71</v>
      </c>
      <c r="C65">
        <v>76.875380000000007</v>
      </c>
      <c r="D65" s="1">
        <v>25604</v>
      </c>
      <c r="E65">
        <v>1.4619999999999999E-2</v>
      </c>
      <c r="F65" s="1">
        <v>42905</v>
      </c>
      <c r="G65">
        <v>76.89</v>
      </c>
      <c r="H65">
        <f>F65-D65</f>
        <v>17301</v>
      </c>
      <c r="I65">
        <f>H65/365</f>
        <v>47.4</v>
      </c>
    </row>
    <row r="66" spans="1:9" x14ac:dyDescent="0.35">
      <c r="A66">
        <v>20</v>
      </c>
      <c r="B66" t="s">
        <v>26</v>
      </c>
      <c r="C66">
        <v>76.095110000000005</v>
      </c>
      <c r="D66" s="1">
        <v>29304</v>
      </c>
      <c r="E66">
        <v>0.28688999999999998</v>
      </c>
      <c r="F66" s="1">
        <v>42891</v>
      </c>
      <c r="G66">
        <v>76.382000000000005</v>
      </c>
      <c r="H66">
        <f>F66-D66</f>
        <v>13587</v>
      </c>
      <c r="I66">
        <f>H66/365</f>
        <v>37.224657534246575</v>
      </c>
    </row>
    <row r="67" spans="1:9" x14ac:dyDescent="0.35">
      <c r="A67">
        <v>80</v>
      </c>
      <c r="B67" t="s">
        <v>86</v>
      </c>
      <c r="C67">
        <v>75.352800000000002</v>
      </c>
      <c r="D67" s="1">
        <v>33870</v>
      </c>
      <c r="E67">
        <v>0.3382</v>
      </c>
      <c r="F67" s="1">
        <v>36528</v>
      </c>
      <c r="G67">
        <v>75.691000000000003</v>
      </c>
      <c r="H67">
        <f>F67-D67</f>
        <v>2658</v>
      </c>
      <c r="I67">
        <f>H67/365</f>
        <v>7.2821917808219174</v>
      </c>
    </row>
    <row r="68" spans="1:9" x14ac:dyDescent="0.35">
      <c r="A68">
        <v>66</v>
      </c>
      <c r="B68" t="s">
        <v>72</v>
      </c>
      <c r="C68">
        <v>74.108859999999893</v>
      </c>
      <c r="D68" s="1">
        <v>25793</v>
      </c>
      <c r="E68">
        <v>0.39313999999999999</v>
      </c>
      <c r="F68" s="1">
        <v>36888</v>
      </c>
      <c r="G68">
        <v>74.501999999999995</v>
      </c>
      <c r="H68">
        <f>F68-D68</f>
        <v>11095</v>
      </c>
      <c r="I68">
        <f>H68/365</f>
        <v>30.397260273972602</v>
      </c>
    </row>
    <row r="69" spans="1:9" x14ac:dyDescent="0.35">
      <c r="A69">
        <v>15</v>
      </c>
      <c r="B69" t="s">
        <v>21</v>
      </c>
      <c r="C69">
        <v>73.616900000000001</v>
      </c>
      <c r="D69" s="1">
        <v>28270</v>
      </c>
      <c r="E69">
        <v>0.60809999999999997</v>
      </c>
      <c r="F69" s="1">
        <v>42565</v>
      </c>
      <c r="G69">
        <v>74.224999999999994</v>
      </c>
      <c r="H69">
        <f>F69-D69</f>
        <v>14295</v>
      </c>
      <c r="I69">
        <f>H69/365</f>
        <v>39.164383561643838</v>
      </c>
    </row>
    <row r="70" spans="1:9" x14ac:dyDescent="0.35">
      <c r="A70">
        <v>31</v>
      </c>
      <c r="B70" t="s">
        <v>37</v>
      </c>
      <c r="C70">
        <v>72.428599999999904</v>
      </c>
      <c r="D70" s="1">
        <v>32524</v>
      </c>
      <c r="E70">
        <v>0.89139999999999997</v>
      </c>
      <c r="F70" s="1">
        <v>43040</v>
      </c>
      <c r="G70">
        <v>73.319999999999993</v>
      </c>
      <c r="H70">
        <f>F70-D70</f>
        <v>10516</v>
      </c>
      <c r="I70">
        <f>H70/365</f>
        <v>28.81095890410959</v>
      </c>
    </row>
    <row r="71" spans="1:9" x14ac:dyDescent="0.35">
      <c r="A71">
        <v>33</v>
      </c>
      <c r="B71" t="s">
        <v>39</v>
      </c>
      <c r="C71">
        <v>68.586699999999993</v>
      </c>
      <c r="D71" s="1">
        <v>29304</v>
      </c>
      <c r="E71">
        <v>0.70330000000000004</v>
      </c>
      <c r="F71" s="1">
        <v>39639</v>
      </c>
      <c r="G71">
        <v>69.290000000000006</v>
      </c>
      <c r="H71">
        <f>F71-D71</f>
        <v>10335</v>
      </c>
      <c r="I71">
        <f>H71/365</f>
        <v>28.315068493150687</v>
      </c>
    </row>
    <row r="72" spans="1:9" x14ac:dyDescent="0.35">
      <c r="A72">
        <v>1</v>
      </c>
      <c r="B72" t="s">
        <v>7</v>
      </c>
      <c r="C72">
        <v>68.238</v>
      </c>
      <c r="D72" s="1">
        <v>41282</v>
      </c>
      <c r="E72">
        <v>28.241999999999901</v>
      </c>
      <c r="F72" s="1">
        <v>43027</v>
      </c>
      <c r="G72">
        <v>96.48</v>
      </c>
      <c r="H72">
        <f>F72-D72</f>
        <v>1745</v>
      </c>
      <c r="I72">
        <f>H72/365</f>
        <v>4.7808219178082192</v>
      </c>
    </row>
    <row r="73" spans="1:9" x14ac:dyDescent="0.35">
      <c r="A73">
        <v>46</v>
      </c>
      <c r="B73" t="s">
        <v>52</v>
      </c>
      <c r="C73">
        <v>67.523700000000005</v>
      </c>
      <c r="D73" s="1">
        <v>30182</v>
      </c>
      <c r="E73">
        <v>2.6522999999999999</v>
      </c>
      <c r="F73" s="1">
        <v>41843</v>
      </c>
      <c r="G73">
        <v>70.176000000000002</v>
      </c>
      <c r="H73">
        <f>F73-D73</f>
        <v>11661</v>
      </c>
      <c r="I73">
        <f>H73/365</f>
        <v>31.947945205479453</v>
      </c>
    </row>
    <row r="74" spans="1:9" x14ac:dyDescent="0.35">
      <c r="A74">
        <v>25</v>
      </c>
      <c r="B74" t="s">
        <v>31</v>
      </c>
      <c r="C74">
        <v>66.088139999999996</v>
      </c>
      <c r="D74" s="1">
        <v>33156</v>
      </c>
      <c r="E74">
        <v>5.7860000000000002E-2</v>
      </c>
      <c r="F74" s="1">
        <v>36612</v>
      </c>
      <c r="G74">
        <v>66.146000000000001</v>
      </c>
      <c r="H74">
        <f>F74-D74</f>
        <v>3456</v>
      </c>
      <c r="I74">
        <f>H74/365</f>
        <v>9.4684931506849317</v>
      </c>
    </row>
    <row r="75" spans="1:9" x14ac:dyDescent="0.35">
      <c r="A75">
        <v>32</v>
      </c>
      <c r="B75" t="s">
        <v>38</v>
      </c>
      <c r="C75">
        <v>65.905199999999994</v>
      </c>
      <c r="D75" s="1">
        <v>30005</v>
      </c>
      <c r="E75">
        <v>1.4748000000000001</v>
      </c>
      <c r="F75" s="1">
        <v>43035</v>
      </c>
      <c r="G75">
        <v>67.38</v>
      </c>
      <c r="H75">
        <f>F75-D75</f>
        <v>13030</v>
      </c>
      <c r="I75">
        <f>H75/365</f>
        <v>35.698630136986303</v>
      </c>
    </row>
    <row r="76" spans="1:9" x14ac:dyDescent="0.35">
      <c r="A76">
        <v>71</v>
      </c>
      <c r="B76" t="s">
        <v>77</v>
      </c>
      <c r="C76">
        <v>65.379949999999994</v>
      </c>
      <c r="D76" s="1">
        <v>32070</v>
      </c>
      <c r="E76">
        <v>0.17904999999999999</v>
      </c>
      <c r="F76" s="1">
        <v>42335</v>
      </c>
      <c r="G76">
        <v>65.558999999999997</v>
      </c>
      <c r="H76">
        <f>F76-D76</f>
        <v>10265</v>
      </c>
      <c r="I76">
        <f>H76/365</f>
        <v>28.123287671232877</v>
      </c>
    </row>
    <row r="77" spans="1:9" x14ac:dyDescent="0.35">
      <c r="A77">
        <v>82</v>
      </c>
      <c r="B77" t="s">
        <v>88</v>
      </c>
      <c r="C77">
        <v>63.975140000000003</v>
      </c>
      <c r="D77" s="1">
        <v>33781</v>
      </c>
      <c r="E77">
        <v>0.30485999999999902</v>
      </c>
      <c r="F77" s="1">
        <v>42888</v>
      </c>
      <c r="G77">
        <v>64.28</v>
      </c>
      <c r="H77">
        <f>F77-D77</f>
        <v>9107</v>
      </c>
      <c r="I77">
        <f>H77/365</f>
        <v>24.950684931506849</v>
      </c>
    </row>
    <row r="78" spans="1:9" x14ac:dyDescent="0.35">
      <c r="A78">
        <v>50</v>
      </c>
      <c r="B78" t="s">
        <v>56</v>
      </c>
      <c r="C78">
        <v>59.986089999999997</v>
      </c>
      <c r="D78" s="1">
        <v>26312</v>
      </c>
      <c r="E78">
        <v>7.90999999999999E-3</v>
      </c>
      <c r="F78" s="1">
        <v>36769</v>
      </c>
      <c r="G78">
        <v>59.994</v>
      </c>
      <c r="H78">
        <f>F78-D78</f>
        <v>10457</v>
      </c>
      <c r="I78">
        <f>H78/365</f>
        <v>28.649315068493152</v>
      </c>
    </row>
    <row r="79" spans="1:9" x14ac:dyDescent="0.35">
      <c r="A79">
        <v>97</v>
      </c>
      <c r="B79" t="s">
        <v>103</v>
      </c>
      <c r="C79">
        <v>57.778599999999997</v>
      </c>
      <c r="D79" s="1">
        <v>31021</v>
      </c>
      <c r="E79">
        <v>0.69840000000000002</v>
      </c>
      <c r="F79" s="1">
        <v>42795</v>
      </c>
      <c r="G79">
        <v>58.476999999999997</v>
      </c>
      <c r="H79">
        <f>F79-D79</f>
        <v>11774</v>
      </c>
      <c r="I79">
        <f>H79/365</f>
        <v>32.257534246575339</v>
      </c>
    </row>
    <row r="80" spans="1:9" x14ac:dyDescent="0.35">
      <c r="A80">
        <v>2</v>
      </c>
      <c r="B80" t="s">
        <v>8</v>
      </c>
      <c r="C80">
        <v>55.6601</v>
      </c>
      <c r="D80" s="1">
        <v>30767</v>
      </c>
      <c r="E80">
        <v>0.65990000000000004</v>
      </c>
      <c r="F80" s="1">
        <v>43028</v>
      </c>
      <c r="G80">
        <v>56.32</v>
      </c>
      <c r="H80">
        <f>F80-D80</f>
        <v>12261</v>
      </c>
      <c r="I80">
        <f>H80/365</f>
        <v>33.591780821917808</v>
      </c>
    </row>
    <row r="81" spans="1:9" x14ac:dyDescent="0.35">
      <c r="A81">
        <v>92</v>
      </c>
      <c r="B81" t="s">
        <v>98</v>
      </c>
      <c r="C81">
        <v>54.021599999999999</v>
      </c>
      <c r="D81" s="1">
        <v>33175</v>
      </c>
      <c r="E81">
        <v>1.4734</v>
      </c>
      <c r="F81" s="1">
        <v>42795</v>
      </c>
      <c r="G81">
        <v>55.494999999999997</v>
      </c>
      <c r="H81">
        <f>F81-D81</f>
        <v>9620</v>
      </c>
      <c r="I81">
        <f>H81/365</f>
        <v>26.356164383561644</v>
      </c>
    </row>
    <row r="82" spans="1:9" x14ac:dyDescent="0.35">
      <c r="A82">
        <v>13</v>
      </c>
      <c r="B82" t="s">
        <v>19</v>
      </c>
      <c r="C82">
        <v>53.555599999999998</v>
      </c>
      <c r="D82" s="1">
        <v>33176</v>
      </c>
      <c r="E82">
        <v>1.0713999999999999</v>
      </c>
      <c r="F82" s="1">
        <v>43019</v>
      </c>
      <c r="G82">
        <v>54.626999999999903</v>
      </c>
      <c r="H82">
        <f>F82-D82</f>
        <v>9843</v>
      </c>
      <c r="I82">
        <f>H82/365</f>
        <v>26.967123287671232</v>
      </c>
    </row>
    <row r="83" spans="1:9" x14ac:dyDescent="0.35">
      <c r="A83">
        <v>84</v>
      </c>
      <c r="B83" t="s">
        <v>90</v>
      </c>
      <c r="C83">
        <v>52.692700000000002</v>
      </c>
      <c r="D83" s="1">
        <v>29964</v>
      </c>
      <c r="E83">
        <v>0.55730000000000002</v>
      </c>
      <c r="F83" s="1">
        <v>43041</v>
      </c>
      <c r="G83">
        <v>53.25</v>
      </c>
      <c r="H83">
        <f>F83-D83</f>
        <v>13077</v>
      </c>
      <c r="I83">
        <f>H83/365</f>
        <v>35.827397260273976</v>
      </c>
    </row>
    <row r="84" spans="1:9" x14ac:dyDescent="0.35">
      <c r="A84">
        <v>73</v>
      </c>
      <c r="B84" t="s">
        <v>79</v>
      </c>
      <c r="C84">
        <v>52.473599999999998</v>
      </c>
      <c r="D84" s="1">
        <v>33175</v>
      </c>
      <c r="E84">
        <v>0.11940000000000001</v>
      </c>
      <c r="F84" s="1">
        <v>42991</v>
      </c>
      <c r="G84">
        <v>52.593000000000004</v>
      </c>
      <c r="H84">
        <f>F84-D84</f>
        <v>9816</v>
      </c>
      <c r="I84">
        <f>H84/365</f>
        <v>26.893150684931506</v>
      </c>
    </row>
    <row r="85" spans="1:9" x14ac:dyDescent="0.35">
      <c r="A85">
        <v>95</v>
      </c>
      <c r="B85" t="s">
        <v>101</v>
      </c>
      <c r="C85">
        <v>50.578399999999903</v>
      </c>
      <c r="D85" s="1">
        <v>30677</v>
      </c>
      <c r="E85">
        <v>2.4685999999999999</v>
      </c>
      <c r="F85" s="1">
        <v>42557</v>
      </c>
      <c r="G85">
        <v>53.046999999999997</v>
      </c>
      <c r="H85">
        <f>F85-D85</f>
        <v>11880</v>
      </c>
      <c r="I85">
        <f>H85/365</f>
        <v>32.547945205479451</v>
      </c>
    </row>
    <row r="86" spans="1:9" x14ac:dyDescent="0.35">
      <c r="A86">
        <v>11</v>
      </c>
      <c r="B86" t="s">
        <v>17</v>
      </c>
      <c r="C86">
        <v>49.447399999999902</v>
      </c>
      <c r="D86" s="1">
        <v>32114</v>
      </c>
      <c r="E86">
        <v>2.3096000000000001</v>
      </c>
      <c r="F86" s="1">
        <v>39037</v>
      </c>
      <c r="G86">
        <v>51.756999999999998</v>
      </c>
      <c r="H86">
        <f>F86-D86</f>
        <v>6923</v>
      </c>
      <c r="I86">
        <f>H86/365</f>
        <v>18.967123287671232</v>
      </c>
    </row>
    <row r="87" spans="1:9" x14ac:dyDescent="0.35">
      <c r="A87">
        <v>40</v>
      </c>
      <c r="B87" t="s">
        <v>46</v>
      </c>
      <c r="C87">
        <v>47.596980000000002</v>
      </c>
      <c r="D87" s="1">
        <v>22819</v>
      </c>
      <c r="E87">
        <v>0.45901999999999998</v>
      </c>
      <c r="F87" s="1">
        <v>36766</v>
      </c>
      <c r="G87">
        <v>48.055999999999997</v>
      </c>
      <c r="H87">
        <f>F87-D87</f>
        <v>13947</v>
      </c>
      <c r="I87">
        <f>H87/365</f>
        <v>38.210958904109589</v>
      </c>
    </row>
    <row r="88" spans="1:9" x14ac:dyDescent="0.35">
      <c r="A88">
        <v>63</v>
      </c>
      <c r="B88" t="s">
        <v>69</v>
      </c>
      <c r="C88">
        <v>46.374200000000002</v>
      </c>
      <c r="D88" s="1">
        <v>39877</v>
      </c>
      <c r="E88">
        <v>8.9558</v>
      </c>
      <c r="F88" s="1">
        <v>43041</v>
      </c>
      <c r="G88">
        <v>55.33</v>
      </c>
      <c r="H88">
        <f>F88-D88</f>
        <v>3164</v>
      </c>
      <c r="I88">
        <f>H88/365</f>
        <v>8.668493150684931</v>
      </c>
    </row>
    <row r="89" spans="1:9" x14ac:dyDescent="0.35">
      <c r="A89">
        <v>55</v>
      </c>
      <c r="B89" t="s">
        <v>61</v>
      </c>
      <c r="C89">
        <v>46.228479999999998</v>
      </c>
      <c r="D89" s="1">
        <v>27306</v>
      </c>
      <c r="E89">
        <v>0.39151999999999998</v>
      </c>
      <c r="F89" s="1">
        <v>43024</v>
      </c>
      <c r="G89">
        <v>46.62</v>
      </c>
      <c r="H89">
        <f>F89-D89</f>
        <v>15718</v>
      </c>
      <c r="I89">
        <f>H89/365</f>
        <v>43.063013698630137</v>
      </c>
    </row>
    <row r="90" spans="1:9" x14ac:dyDescent="0.35">
      <c r="A90">
        <v>79</v>
      </c>
      <c r="B90" t="s">
        <v>85</v>
      </c>
      <c r="C90">
        <v>44.14</v>
      </c>
      <c r="D90" s="1">
        <v>42276</v>
      </c>
      <c r="E90">
        <v>30.63</v>
      </c>
      <c r="F90" s="1">
        <v>43047</v>
      </c>
      <c r="G90">
        <v>74.77</v>
      </c>
      <c r="H90">
        <f>F90-D90</f>
        <v>771</v>
      </c>
      <c r="I90">
        <f>H90/365</f>
        <v>2.1123287671232878</v>
      </c>
    </row>
    <row r="91" spans="1:9" x14ac:dyDescent="0.35">
      <c r="A91">
        <v>21</v>
      </c>
      <c r="B91" t="s">
        <v>27</v>
      </c>
      <c r="C91">
        <v>40.959699999999998</v>
      </c>
      <c r="D91" s="1">
        <v>33157</v>
      </c>
      <c r="E91">
        <v>0.76329999999999998</v>
      </c>
      <c r="F91" s="1">
        <v>42961</v>
      </c>
      <c r="G91">
        <v>41.722999999999999</v>
      </c>
      <c r="H91">
        <f>F91-D91</f>
        <v>9804</v>
      </c>
      <c r="I91">
        <f>H91/365</f>
        <v>26.860273972602741</v>
      </c>
    </row>
    <row r="92" spans="1:9" x14ac:dyDescent="0.35">
      <c r="A92">
        <v>86</v>
      </c>
      <c r="B92" t="s">
        <v>92</v>
      </c>
      <c r="C92">
        <v>40.004100000000001</v>
      </c>
      <c r="D92" s="1">
        <v>30882</v>
      </c>
      <c r="E92">
        <v>1.0468999999999999</v>
      </c>
      <c r="F92" s="1">
        <v>42811</v>
      </c>
      <c r="G92">
        <v>41.051000000000002</v>
      </c>
      <c r="H92">
        <f>F92-D92</f>
        <v>11929</v>
      </c>
      <c r="I92">
        <f>H92/365</f>
        <v>32.682191780821917</v>
      </c>
    </row>
    <row r="93" spans="1:9" x14ac:dyDescent="0.35">
      <c r="A93">
        <v>76</v>
      </c>
      <c r="B93" t="s">
        <v>82</v>
      </c>
      <c r="C93">
        <v>36.943100000000001</v>
      </c>
      <c r="D93" s="1">
        <v>30027</v>
      </c>
      <c r="E93">
        <v>0.50090000000000001</v>
      </c>
      <c r="F93" s="1">
        <v>36262</v>
      </c>
      <c r="G93">
        <v>37.444000000000003</v>
      </c>
      <c r="H93">
        <f>F93-D93</f>
        <v>6235</v>
      </c>
      <c r="I93">
        <f>H93/365</f>
        <v>17.082191780821919</v>
      </c>
    </row>
    <row r="94" spans="1:9" x14ac:dyDescent="0.35">
      <c r="A94">
        <v>61</v>
      </c>
      <c r="B94" t="s">
        <v>67</v>
      </c>
      <c r="C94">
        <v>34.118000000000002</v>
      </c>
      <c r="D94" s="1">
        <v>39877</v>
      </c>
      <c r="E94">
        <v>12.613</v>
      </c>
      <c r="F94" s="1">
        <v>42888</v>
      </c>
      <c r="G94">
        <v>46.731000000000002</v>
      </c>
      <c r="H94">
        <f>F94-D94</f>
        <v>3011</v>
      </c>
      <c r="I94">
        <f>H94/365</f>
        <v>8.24931506849315</v>
      </c>
    </row>
    <row r="95" spans="1:9" x14ac:dyDescent="0.35">
      <c r="A95">
        <v>38</v>
      </c>
      <c r="B95" t="s">
        <v>44</v>
      </c>
      <c r="C95">
        <v>33.443199999999997</v>
      </c>
      <c r="D95" s="1">
        <v>39881</v>
      </c>
      <c r="E95">
        <v>4.1917999999999997</v>
      </c>
      <c r="F95" s="1">
        <v>42002</v>
      </c>
      <c r="G95">
        <v>37.634999999999998</v>
      </c>
      <c r="H95">
        <f>F95-D95</f>
        <v>2121</v>
      </c>
      <c r="I95">
        <f>H95/365</f>
        <v>5.8109589041095893</v>
      </c>
    </row>
    <row r="96" spans="1:9" x14ac:dyDescent="0.35">
      <c r="A96">
        <v>37</v>
      </c>
      <c r="B96" t="s">
        <v>43</v>
      </c>
      <c r="C96">
        <v>31.424799999999902</v>
      </c>
      <c r="D96" s="1">
        <v>39881</v>
      </c>
      <c r="E96">
        <v>4.7472000000000003</v>
      </c>
      <c r="F96" s="1">
        <v>42002</v>
      </c>
      <c r="G96">
        <v>36.171999999999997</v>
      </c>
      <c r="H96">
        <f>F96-D96</f>
        <v>2121</v>
      </c>
      <c r="I96">
        <f>H96/365</f>
        <v>5.8109589041095893</v>
      </c>
    </row>
    <row r="97" spans="1:9" x14ac:dyDescent="0.35">
      <c r="A97">
        <v>67</v>
      </c>
      <c r="B97" t="s">
        <v>73</v>
      </c>
      <c r="C97">
        <v>30.934999999999899</v>
      </c>
      <c r="D97" s="1">
        <v>38485</v>
      </c>
      <c r="E97">
        <v>36.317</v>
      </c>
      <c r="F97" s="1">
        <v>39247</v>
      </c>
      <c r="G97">
        <v>67.251999999999995</v>
      </c>
      <c r="H97">
        <f>F97-D97</f>
        <v>762</v>
      </c>
      <c r="I97">
        <f>H97/365</f>
        <v>2.0876712328767124</v>
      </c>
    </row>
    <row r="98" spans="1:9" x14ac:dyDescent="0.35">
      <c r="A98">
        <v>42</v>
      </c>
      <c r="B98" t="s">
        <v>48</v>
      </c>
      <c r="C98">
        <v>30.380999999999901</v>
      </c>
      <c r="D98" s="1">
        <v>41115</v>
      </c>
      <c r="E98">
        <v>16.099</v>
      </c>
      <c r="F98" s="1">
        <v>43032</v>
      </c>
      <c r="G98">
        <v>46.48</v>
      </c>
      <c r="H98">
        <f>F98-D98</f>
        <v>1917</v>
      </c>
      <c r="I98">
        <f>H98/365</f>
        <v>5.2520547945205482</v>
      </c>
    </row>
    <row r="99" spans="1:9" x14ac:dyDescent="0.35">
      <c r="A99">
        <v>53</v>
      </c>
      <c r="B99" t="s">
        <v>59</v>
      </c>
      <c r="C99">
        <v>29.832999999999899</v>
      </c>
      <c r="D99" s="1">
        <v>42276</v>
      </c>
      <c r="E99">
        <v>64.855000000000004</v>
      </c>
      <c r="F99" s="1">
        <v>42783</v>
      </c>
      <c r="G99">
        <v>94.687999999999903</v>
      </c>
      <c r="H99">
        <f>F99-D99</f>
        <v>507</v>
      </c>
      <c r="I99">
        <f>H99/365</f>
        <v>1.3890410958904109</v>
      </c>
    </row>
    <row r="100" spans="1:9" x14ac:dyDescent="0.35">
      <c r="A100">
        <v>34</v>
      </c>
      <c r="B100" t="s">
        <v>40</v>
      </c>
      <c r="C100">
        <v>24.76023</v>
      </c>
      <c r="D100" s="1">
        <v>29888</v>
      </c>
      <c r="E100">
        <v>0.21276999999999999</v>
      </c>
      <c r="F100" s="1">
        <v>36283</v>
      </c>
      <c r="G100">
        <v>24.972999999999999</v>
      </c>
      <c r="H100">
        <f>F100-D100</f>
        <v>6395</v>
      </c>
      <c r="I100">
        <f>H100/365</f>
        <v>17.520547945205479</v>
      </c>
    </row>
    <row r="101" spans="1:9" x14ac:dyDescent="0.35">
      <c r="A101">
        <v>54</v>
      </c>
      <c r="B101" t="s">
        <v>60</v>
      </c>
      <c r="C101">
        <v>21.968</v>
      </c>
      <c r="D101" s="1">
        <v>40763</v>
      </c>
      <c r="E101">
        <v>18.547000000000001</v>
      </c>
      <c r="F101" s="1">
        <v>42117</v>
      </c>
      <c r="G101">
        <v>40.515000000000001</v>
      </c>
      <c r="H101">
        <f>F101-D101</f>
        <v>1354</v>
      </c>
      <c r="I101">
        <f>H101/365</f>
        <v>3.7095890410958905</v>
      </c>
    </row>
  </sheetData>
  <autoFilter ref="A1:J1">
    <sortState ref="A2:J101">
      <sortCondition descending="1" ref="C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Combined Stock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Kling</dc:creator>
  <cp:lastModifiedBy>Andrew Kling</cp:lastModifiedBy>
  <dcterms:created xsi:type="dcterms:W3CDTF">2018-06-28T15:42:21Z</dcterms:created>
  <dcterms:modified xsi:type="dcterms:W3CDTF">2018-07-07T12:34:43Z</dcterms:modified>
</cp:coreProperties>
</file>